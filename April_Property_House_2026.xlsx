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ntal Income" sheetId="1" state="visible" r:id="rId3"/>
    <sheet name="Expense" sheetId="2" state="visible" r:id="rId4"/>
    <sheet name="Distribu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<sst xmlns="http://schemas.openxmlformats.org/spreadsheetml/2006/main" count="55" uniqueCount="46">
  <si>
    <t xml:space="preserve">Monthly Rental Income of April, 2026</t>
  </si>
  <si>
    <t xml:space="preserve">Description</t>
  </si>
  <si>
    <t xml:space="preserve">Amount</t>
  </si>
  <si>
    <t xml:space="preserve">Subtotal</t>
  </si>
  <si>
    <t xml:space="preserve">Roof (7th floor Parcial)</t>
  </si>
  <si>
    <t xml:space="preserve">-</t>
  </si>
  <si>
    <t xml:space="preserve">6th floor front</t>
  </si>
  <si>
    <t xml:space="preserve">6th floor back</t>
  </si>
  <si>
    <t xml:space="preserve">5th floor front</t>
  </si>
  <si>
    <t xml:space="preserve">5 th floor back</t>
  </si>
  <si>
    <t xml:space="preserve">4th floor front</t>
  </si>
  <si>
    <t xml:space="preserve">4th floor back (partial)</t>
  </si>
  <si>
    <t xml:space="preserve">3rd floor front</t>
  </si>
  <si>
    <t xml:space="preserve">3rd floor back</t>
  </si>
  <si>
    <t xml:space="preserve">2nd floor front</t>
  </si>
  <si>
    <t xml:space="preserve">2nd floor back </t>
  </si>
  <si>
    <t xml:space="preserve">1st floor side 1</t>
  </si>
  <si>
    <t xml:space="preserve">1st floor side 2</t>
  </si>
  <si>
    <t xml:space="preserve">Garaze</t>
  </si>
  <si>
    <t xml:space="preserve">Total (Taka)</t>
  </si>
  <si>
    <t xml:space="preserve">Monthly Expense</t>
  </si>
  <si>
    <t xml:space="preserve">Taka</t>
  </si>
  <si>
    <t xml:space="preserve">Additional</t>
  </si>
  <si>
    <t xml:space="preserve">Comment</t>
  </si>
  <si>
    <t xml:space="preserve">CareTaker Salary</t>
  </si>
  <si>
    <t xml:space="preserve">Ajimpur Expense</t>
  </si>
  <si>
    <t xml:space="preserve">Masjid</t>
  </si>
  <si>
    <t xml:space="preserve">Mohanagar Project Housing Society</t>
  </si>
  <si>
    <t xml:space="preserve">Additional Cost </t>
  </si>
  <si>
    <t xml:space="preserve">water pipe cleaning(1000), net bill(1000), mizan 300, cleaning material 1000</t>
  </si>
  <si>
    <t xml:space="preserve">Electricity Bill (Motor, Stair, Roof, Garaze)</t>
  </si>
  <si>
    <t xml:space="preserve">City Corporation Tax</t>
  </si>
  <si>
    <t xml:space="preserve">Maintenance</t>
  </si>
  <si>
    <t xml:space="preserve">Total Maintenance in Account deposit</t>
  </si>
  <si>
    <t xml:space="preserve">Joint Account</t>
  </si>
  <si>
    <t xml:space="preserve">Total Outstanding Rent</t>
  </si>
  <si>
    <t xml:space="preserve">Need to be recover</t>
  </si>
  <si>
    <t xml:space="preserve">Monthly Distribution of April, 2026</t>
  </si>
  <si>
    <t xml:space="preserve">Total Rent after Expense</t>
  </si>
  <si>
    <t xml:space="preserve">(Taka)</t>
  </si>
  <si>
    <t xml:space="preserve">Expense per person</t>
  </si>
  <si>
    <t xml:space="preserve">Nahidul Islam</t>
  </si>
  <si>
    <t xml:space="preserve">Mohammad Moshiur Rahman</t>
  </si>
  <si>
    <t xml:space="preserve">Md Nishadul Islam</t>
  </si>
  <si>
    <r>
      <rPr>
        <sz val="11"/>
        <color rgb="FF000000"/>
        <rFont val="Calibri"/>
        <family val="2"/>
        <charset val="1"/>
      </rPr>
      <t xml:space="preserve">House rent- 17,000, Eletricity-1,150,Bua-1,000,Dish bill-1,700 = </t>
    </r>
    <r>
      <rPr>
        <b val="true"/>
        <sz val="11"/>
        <color rgb="FF000000"/>
        <rFont val="Calibri"/>
        <family val="2"/>
        <charset val="1"/>
      </rPr>
      <t xml:space="preserve">Total 20,850</t>
    </r>
  </si>
  <si>
    <t xml:space="preserve">Naimul Islam Nobel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</si>
</sst>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_(* #,##0.00_);_(* \(#,##0.00\);_(* \-??_);_(@_)"/>
  </numFmts>
  <fonts count="15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4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sz val="12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76A5AF"/>
        <bgColor rgb="FF6AA84F"/>
      </patternFill>
    </fill>
    <fill>
      <patternFill patternType="solid">
        <fgColor rgb="FFB6D7A8"/>
        <bgColor rgb="FFA2C4C9"/>
      </patternFill>
    </fill>
    <fill>
      <patternFill patternType="solid">
        <fgColor rgb="FFEFEFEF"/>
        <bgColor rgb="FFFFFFCC"/>
      </patternFill>
    </fill>
    <fill>
      <patternFill patternType="solid">
        <fgColor rgb="FF6AA84F"/>
        <bgColor rgb="FF76A5AF"/>
      </patternFill>
    </fill>
    <fill>
      <patternFill patternType="solid">
        <fgColor rgb="FFFF0000"/>
        <bgColor rgb="FF993300"/>
      </patternFill>
    </fill>
    <fill>
      <patternFill patternType="solid">
        <fgColor rgb="FFE06666"/>
        <bgColor rgb="FFFF6600"/>
      </patternFill>
    </fill>
    <fill>
      <patternFill patternType="solid">
        <fgColor rgb="FFA2C4C9"/>
        <bgColor rgb="FF99CCFF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15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8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8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1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7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8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5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6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9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8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9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8" xfId="15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2C4C9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6A5AF"/>
      <rgbColor rgb="FF003366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21.27"/>
    <col collapsed="false" customWidth="true" hidden="false" outlineLevel="0" max="2" min="2" style="1" width="10.09"/>
    <col collapsed="false" customWidth="true" hidden="false" outlineLevel="0" max="3" min="3" style="1" width="22.45"/>
    <col collapsed="false" customWidth="true" hidden="false" outlineLevel="0" max="4" min="4" style="1" width="8.73"/>
    <col collapsed="false" customWidth="true" hidden="false" outlineLevel="0" max="5" min="5" style="1" width="11.73"/>
    <col collapsed="false" customWidth="true" hidden="false" outlineLevel="0" max="25" min="6" style="0" width="8.73"/>
    <col collapsed="false" customWidth="true" hidden="false" outlineLevel="0" max="26" min="26" style="0" width="14"/>
  </cols>
  <sheetData>
    <row r="1" customFormat="false" ht="17.35" hidden="false" customHeight="false" outlineLevel="0" collapsed="false">
      <c r="A1" s="2" t="s">
        <v>0</v>
      </c>
      <c r="B1" s="3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customFormat="false" ht="9.75" hidden="false" customHeight="true" outlineLevel="0" collapsed="false">
      <c r="A2" s="5"/>
      <c r="B2" s="3"/>
      <c r="C2" s="3"/>
      <c r="D2" s="3"/>
      <c r="E2" s="3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customFormat="false" ht="15" hidden="false" customHeight="false" outlineLevel="0" collapsed="false">
      <c r="A3" s="6" t="s">
        <v>1</v>
      </c>
      <c r="B3" s="7" t="s">
        <v>2</v>
      </c>
      <c r="C3" s="7" t="s">
        <v>1</v>
      </c>
      <c r="D3" s="7" t="s">
        <v>2</v>
      </c>
      <c r="E3" s="8" t="s">
        <v>3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customFormat="false" ht="15" hidden="false" customHeight="false" outlineLevel="0" collapsed="false">
      <c r="A4" s="10" t="s">
        <v>4</v>
      </c>
      <c r="B4" s="11" t="s">
        <v>5</v>
      </c>
      <c r="C4" s="11" t="s">
        <v>5</v>
      </c>
      <c r="D4" s="12" t="n">
        <v>9000</v>
      </c>
      <c r="E4" s="13" t="n">
        <f aca="false">D4</f>
        <v>9000</v>
      </c>
    </row>
    <row r="5" customFormat="false" ht="15" hidden="false" customHeight="false" outlineLevel="0" collapsed="false">
      <c r="A5" s="14" t="s">
        <v>6</v>
      </c>
      <c r="B5" s="15" t="n">
        <v>17000</v>
      </c>
      <c r="C5" s="16" t="s">
        <v>7</v>
      </c>
      <c r="D5" s="15" t="n">
        <v>18000</v>
      </c>
      <c r="E5" s="17" t="n">
        <f aca="false">B5+D5</f>
        <v>35000</v>
      </c>
    </row>
    <row r="6" customFormat="false" ht="15" hidden="false" customHeight="false" outlineLevel="0" collapsed="false">
      <c r="A6" s="14" t="s">
        <v>8</v>
      </c>
      <c r="B6" s="15" t="n">
        <v>17300</v>
      </c>
      <c r="C6" s="16" t="s">
        <v>9</v>
      </c>
      <c r="D6" s="15" t="n">
        <v>19000</v>
      </c>
      <c r="E6" s="17" t="n">
        <f aca="false">B6+D6</f>
        <v>36300</v>
      </c>
    </row>
    <row r="7" customFormat="false" ht="15" hidden="false" customHeight="false" outlineLevel="0" collapsed="false">
      <c r="A7" s="18" t="s">
        <v>10</v>
      </c>
      <c r="B7" s="15" t="n">
        <v>17000</v>
      </c>
      <c r="C7" s="19" t="s">
        <v>11</v>
      </c>
      <c r="D7" s="15" t="n">
        <v>8000</v>
      </c>
      <c r="E7" s="17" t="n">
        <f aca="false">B7+D7</f>
        <v>25000</v>
      </c>
      <c r="F7" s="20"/>
    </row>
    <row r="8" customFormat="false" ht="15" hidden="false" customHeight="false" outlineLevel="0" collapsed="false">
      <c r="A8" s="18" t="s">
        <v>12</v>
      </c>
      <c r="B8" s="15" t="n">
        <v>7000</v>
      </c>
      <c r="C8" s="19" t="s">
        <v>13</v>
      </c>
      <c r="D8" s="15" t="n">
        <v>0</v>
      </c>
      <c r="E8" s="17" t="n">
        <f aca="false">B8+D8</f>
        <v>7000</v>
      </c>
    </row>
    <row r="9" customFormat="false" ht="15" hidden="false" customHeight="false" outlineLevel="0" collapsed="false">
      <c r="A9" s="18" t="s">
        <v>14</v>
      </c>
      <c r="B9" s="15" t="n">
        <v>17000</v>
      </c>
      <c r="C9" s="19" t="s">
        <v>15</v>
      </c>
      <c r="D9" s="15" t="n">
        <v>19000</v>
      </c>
      <c r="E9" s="17" t="n">
        <f aca="false">B9+D9</f>
        <v>36000</v>
      </c>
    </row>
    <row r="10" customFormat="false" ht="15" hidden="false" customHeight="false" outlineLevel="0" collapsed="false">
      <c r="A10" s="18" t="s">
        <v>16</v>
      </c>
      <c r="B10" s="15" t="n">
        <v>13000</v>
      </c>
      <c r="C10" s="19" t="s">
        <v>17</v>
      </c>
      <c r="D10" s="15" t="n">
        <v>12000</v>
      </c>
      <c r="E10" s="17" t="n">
        <f aca="false">B10+D10</f>
        <v>25000</v>
      </c>
    </row>
    <row r="11" customFormat="false" ht="15" hidden="false" customHeight="false" outlineLevel="0" collapsed="false">
      <c r="A11" s="21" t="s">
        <v>18</v>
      </c>
      <c r="B11" s="22"/>
      <c r="C11" s="22"/>
      <c r="D11" s="23"/>
      <c r="E11" s="24" t="n">
        <v>3200</v>
      </c>
    </row>
    <row r="12" customFormat="false" ht="15" hidden="false" customHeight="false" outlineLevel="0" collapsed="false">
      <c r="A12" s="25" t="s">
        <v>19</v>
      </c>
      <c r="B12" s="26"/>
      <c r="C12" s="26"/>
      <c r="D12" s="26"/>
      <c r="E12" s="27" t="n">
        <f aca="false">SUM(E4:E11)</f>
        <v>176500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4.453125" defaultRowHeight="15" zeroHeight="false" outlineLevelRow="0" outlineLevelCol="0"/>
  <cols>
    <col collapsed="false" customWidth="true" hidden="false" outlineLevel="0" max="1" min="1" style="0" width="42.09"/>
    <col collapsed="false" customWidth="true" hidden="false" outlineLevel="0" max="2" min="2" style="28" width="13"/>
    <col collapsed="false" customWidth="true" hidden="false" outlineLevel="0" max="3" min="3" style="0" width="10.54"/>
    <col collapsed="false" customWidth="true" hidden="false" outlineLevel="0" max="4" min="4" style="1" width="63.91"/>
    <col collapsed="false" customWidth="true" hidden="false" outlineLevel="0" max="6" min="5" style="0" width="8.73"/>
    <col collapsed="false" customWidth="true" hidden="false" outlineLevel="0" max="26" min="7" style="0" width="14"/>
  </cols>
  <sheetData>
    <row r="1" customFormat="false" ht="15" hidden="false" customHeight="false" outlineLevel="0" collapsed="false">
      <c r="A1" s="6" t="s">
        <v>20</v>
      </c>
      <c r="B1" s="29" t="s">
        <v>21</v>
      </c>
      <c r="C1" s="30" t="s">
        <v>22</v>
      </c>
      <c r="D1" s="31" t="s">
        <v>23</v>
      </c>
    </row>
    <row r="2" customFormat="false" ht="15" hidden="false" customHeight="false" outlineLevel="0" collapsed="false">
      <c r="A2" s="32" t="s">
        <v>24</v>
      </c>
      <c r="B2" s="33" t="n">
        <v>13000</v>
      </c>
      <c r="C2" s="34"/>
      <c r="D2" s="35"/>
    </row>
    <row r="3" customFormat="false" ht="15" hidden="false" customHeight="false" outlineLevel="0" collapsed="false">
      <c r="A3" s="36" t="s">
        <v>25</v>
      </c>
      <c r="B3" s="37" t="n">
        <v>2000</v>
      </c>
      <c r="C3" s="38"/>
      <c r="D3" s="39"/>
    </row>
    <row r="4" customFormat="false" ht="15" hidden="false" customHeight="false" outlineLevel="0" collapsed="false">
      <c r="A4" s="40" t="s">
        <v>26</v>
      </c>
      <c r="B4" s="41" t="n">
        <v>1000</v>
      </c>
      <c r="C4" s="42"/>
      <c r="D4" s="43"/>
    </row>
    <row r="5" customFormat="false" ht="15" hidden="false" customHeight="false" outlineLevel="0" collapsed="false">
      <c r="A5" s="36" t="s">
        <v>27</v>
      </c>
      <c r="B5" s="37" t="n">
        <v>500</v>
      </c>
      <c r="C5" s="38"/>
      <c r="D5" s="39"/>
    </row>
    <row r="6" customFormat="false" ht="15" hidden="false" customHeight="false" outlineLevel="0" collapsed="false">
      <c r="A6" s="40" t="s">
        <v>28</v>
      </c>
      <c r="B6" s="41" t="n">
        <v>3300</v>
      </c>
      <c r="C6" s="42"/>
      <c r="D6" s="44" t="s">
        <v>29</v>
      </c>
    </row>
    <row r="7" customFormat="false" ht="15" hidden="false" customHeight="false" outlineLevel="0" collapsed="false">
      <c r="A7" s="36" t="s">
        <v>30</v>
      </c>
      <c r="B7" s="37" t="n">
        <v>5000</v>
      </c>
      <c r="C7" s="38"/>
      <c r="D7" s="39"/>
    </row>
    <row r="8" customFormat="false" ht="15" hidden="false" customHeight="false" outlineLevel="0" collapsed="false">
      <c r="A8" s="40" t="s">
        <v>31</v>
      </c>
      <c r="B8" s="41" t="n">
        <v>3300</v>
      </c>
      <c r="C8" s="42"/>
      <c r="D8" s="43"/>
    </row>
    <row r="9" customFormat="false" ht="15" hidden="false" customHeight="true" outlineLevel="0" collapsed="false">
      <c r="A9" s="45" t="s">
        <v>32</v>
      </c>
      <c r="B9" s="46" t="n">
        <v>5000</v>
      </c>
      <c r="C9" s="47"/>
      <c r="D9" s="48"/>
    </row>
    <row r="10" customFormat="false" ht="15" hidden="false" customHeight="false" outlineLevel="0" collapsed="false">
      <c r="A10" s="49" t="s">
        <v>19</v>
      </c>
      <c r="B10" s="50" t="n">
        <f aca="false">B2+B3+B4+B5+B6+B7+B8+B9</f>
        <v>33100</v>
      </c>
      <c r="C10" s="51"/>
      <c r="D10" s="52"/>
    </row>
    <row r="11" customFormat="false" ht="15" hidden="false" customHeight="false" outlineLevel="0" collapsed="false">
      <c r="B11" s="53"/>
    </row>
    <row r="12" customFormat="false" ht="15" hidden="false" customHeight="false" outlineLevel="0" collapsed="false">
      <c r="B12" s="53"/>
    </row>
    <row r="13" customFormat="false" ht="15" hidden="false" customHeight="false" outlineLevel="0" collapsed="false">
      <c r="A13" s="54" t="s">
        <v>33</v>
      </c>
      <c r="B13" s="55"/>
      <c r="C13" s="54"/>
      <c r="D13" s="56" t="s">
        <v>34</v>
      </c>
    </row>
    <row r="14" customFormat="false" ht="15" hidden="false" customHeight="false" outlineLevel="0" collapsed="false">
      <c r="A14" s="57" t="s">
        <v>35</v>
      </c>
      <c r="B14" s="58"/>
      <c r="C14" s="57"/>
      <c r="D14" s="59" t="s">
        <v>36</v>
      </c>
    </row>
    <row r="15" customFormat="false" ht="14.25" hidden="false" customHeight="false" outlineLevel="0" collapsed="false">
      <c r="B15" s="53"/>
    </row>
    <row r="16" customFormat="false" ht="14.25" hidden="false" customHeight="false" outlineLevel="0" collapsed="false">
      <c r="B16" s="53"/>
    </row>
    <row r="17" customFormat="false" ht="14.25" hidden="false" customHeight="false" outlineLevel="0" collapsed="false">
      <c r="B17" s="53"/>
    </row>
    <row r="18" customFormat="false" ht="14.25" hidden="false" customHeight="false" outlineLevel="0" collapsed="false">
      <c r="B18" s="53"/>
    </row>
    <row r="19" customFormat="false" ht="14.25" hidden="false" customHeight="false" outlineLevel="0" collapsed="false">
      <c r="B19" s="53"/>
    </row>
    <row r="20" customFormat="false" ht="14.25" hidden="false" customHeight="false" outlineLevel="0" collapsed="false">
      <c r="B20" s="53"/>
    </row>
    <row r="21" customFormat="false" ht="15.75" hidden="false" customHeight="true" outlineLevel="0" collapsed="false">
      <c r="B21" s="53"/>
    </row>
    <row r="22" customFormat="false" ht="15.75" hidden="false" customHeight="true" outlineLevel="0" collapsed="false">
      <c r="B22" s="53"/>
    </row>
    <row r="23" customFormat="false" ht="15.75" hidden="false" customHeight="true" outlineLevel="0" collapsed="false">
      <c r="B23" s="53"/>
    </row>
    <row r="24" customFormat="false" ht="15.75" hidden="false" customHeight="true" outlineLevel="0" collapsed="false">
      <c r="B24" s="53"/>
    </row>
    <row r="25" customFormat="false" ht="15.75" hidden="false" customHeight="true" outlineLevel="0" collapsed="false">
      <c r="B25" s="53"/>
    </row>
    <row r="26" customFormat="false" ht="15.75" hidden="false" customHeight="true" outlineLevel="0" collapsed="false">
      <c r="B26" s="53"/>
    </row>
    <row r="27" customFormat="false" ht="15.75" hidden="false" customHeight="true" outlineLevel="0" collapsed="false">
      <c r="B27" s="53"/>
    </row>
    <row r="28" customFormat="false" ht="15.75" hidden="false" customHeight="true" outlineLevel="0" collapsed="false">
      <c r="B28" s="53"/>
    </row>
    <row r="29" customFormat="false" ht="15.75" hidden="false" customHeight="true" outlineLevel="0" collapsed="false">
      <c r="B29" s="53"/>
    </row>
    <row r="30" customFormat="false" ht="15.75" hidden="false" customHeight="true" outlineLevel="0" collapsed="false">
      <c r="B30" s="53"/>
    </row>
    <row r="31" customFormat="false" ht="15.75" hidden="false" customHeight="true" outlineLevel="0" collapsed="false">
      <c r="B31" s="53"/>
    </row>
    <row r="32" customFormat="false" ht="15.75" hidden="false" customHeight="true" outlineLevel="0" collapsed="false">
      <c r="B32" s="53"/>
    </row>
    <row r="33" customFormat="false" ht="15.75" hidden="false" customHeight="true" outlineLevel="0" collapsed="false">
      <c r="B33" s="53"/>
    </row>
    <row r="34" customFormat="false" ht="15.75" hidden="false" customHeight="true" outlineLevel="0" collapsed="false">
      <c r="B34" s="53"/>
    </row>
    <row r="35" customFormat="false" ht="15.75" hidden="false" customHeight="true" outlineLevel="0" collapsed="false">
      <c r="B35" s="53"/>
    </row>
    <row r="36" customFormat="false" ht="15.75" hidden="false" customHeight="true" outlineLevel="0" collapsed="false">
      <c r="B36" s="53"/>
    </row>
    <row r="37" customFormat="false" ht="15.75" hidden="false" customHeight="true" outlineLevel="0" collapsed="false">
      <c r="B37" s="53"/>
    </row>
    <row r="38" customFormat="false" ht="15.75" hidden="false" customHeight="true" outlineLevel="0" collapsed="false">
      <c r="B38" s="53"/>
    </row>
    <row r="39" customFormat="false" ht="15.75" hidden="false" customHeight="true" outlineLevel="0" collapsed="false">
      <c r="B39" s="53"/>
    </row>
    <row r="40" customFormat="false" ht="15.75" hidden="false" customHeight="true" outlineLevel="0" collapsed="false">
      <c r="B40" s="53"/>
    </row>
    <row r="41" customFormat="false" ht="15.75" hidden="false" customHeight="true" outlineLevel="0" collapsed="false">
      <c r="B41" s="53"/>
    </row>
    <row r="42" customFormat="false" ht="15.75" hidden="false" customHeight="true" outlineLevel="0" collapsed="false">
      <c r="B42" s="53"/>
    </row>
    <row r="43" customFormat="false" ht="15.75" hidden="false" customHeight="true" outlineLevel="0" collapsed="false">
      <c r="B43" s="53"/>
    </row>
    <row r="44" customFormat="false" ht="15.75" hidden="false" customHeight="true" outlineLevel="0" collapsed="false">
      <c r="B44" s="53"/>
    </row>
    <row r="45" customFormat="false" ht="15.75" hidden="false" customHeight="true" outlineLevel="0" collapsed="false">
      <c r="B45" s="53"/>
    </row>
    <row r="46" customFormat="false" ht="15.75" hidden="false" customHeight="true" outlineLevel="0" collapsed="false">
      <c r="B46" s="53"/>
    </row>
    <row r="47" customFormat="false" ht="15.75" hidden="false" customHeight="true" outlineLevel="0" collapsed="false">
      <c r="B47" s="53"/>
    </row>
    <row r="48" customFormat="false" ht="15.75" hidden="false" customHeight="true" outlineLevel="0" collapsed="false">
      <c r="B48" s="53"/>
    </row>
    <row r="49" customFormat="false" ht="15.75" hidden="false" customHeight="true" outlineLevel="0" collapsed="false">
      <c r="B49" s="53"/>
    </row>
    <row r="50" customFormat="false" ht="15.75" hidden="false" customHeight="true" outlineLevel="0" collapsed="false">
      <c r="B50" s="53"/>
    </row>
    <row r="51" customFormat="false" ht="15.75" hidden="false" customHeight="true" outlineLevel="0" collapsed="false">
      <c r="B51" s="53"/>
    </row>
    <row r="52" customFormat="false" ht="15.75" hidden="false" customHeight="true" outlineLevel="0" collapsed="false">
      <c r="B52" s="53"/>
    </row>
    <row r="53" customFormat="false" ht="15.75" hidden="false" customHeight="true" outlineLevel="0" collapsed="false">
      <c r="B53" s="53"/>
    </row>
    <row r="54" customFormat="false" ht="15.75" hidden="false" customHeight="true" outlineLevel="0" collapsed="false">
      <c r="B54" s="53"/>
    </row>
    <row r="55" customFormat="false" ht="15.75" hidden="false" customHeight="true" outlineLevel="0" collapsed="false">
      <c r="B55" s="53"/>
    </row>
    <row r="56" customFormat="false" ht="15.75" hidden="false" customHeight="true" outlineLevel="0" collapsed="false">
      <c r="B56" s="53"/>
    </row>
    <row r="57" customFormat="false" ht="15.75" hidden="false" customHeight="true" outlineLevel="0" collapsed="false">
      <c r="B57" s="53"/>
    </row>
    <row r="58" customFormat="false" ht="15.75" hidden="false" customHeight="true" outlineLevel="0" collapsed="false">
      <c r="B58" s="53"/>
    </row>
    <row r="59" customFormat="false" ht="15.75" hidden="false" customHeight="true" outlineLevel="0" collapsed="false">
      <c r="B59" s="53"/>
    </row>
    <row r="60" customFormat="false" ht="15.75" hidden="false" customHeight="true" outlineLevel="0" collapsed="false">
      <c r="B60" s="53"/>
    </row>
    <row r="61" customFormat="false" ht="15.75" hidden="false" customHeight="true" outlineLevel="0" collapsed="false">
      <c r="B61" s="53"/>
    </row>
    <row r="62" customFormat="false" ht="15.75" hidden="false" customHeight="true" outlineLevel="0" collapsed="false">
      <c r="B62" s="53"/>
    </row>
    <row r="63" customFormat="false" ht="15.75" hidden="false" customHeight="true" outlineLevel="0" collapsed="false">
      <c r="B63" s="53"/>
    </row>
    <row r="64" customFormat="false" ht="15.75" hidden="false" customHeight="true" outlineLevel="0" collapsed="false">
      <c r="B64" s="53"/>
    </row>
    <row r="65" customFormat="false" ht="15.75" hidden="false" customHeight="true" outlineLevel="0" collapsed="false">
      <c r="B65" s="53"/>
    </row>
    <row r="66" customFormat="false" ht="15.75" hidden="false" customHeight="true" outlineLevel="0" collapsed="false">
      <c r="B66" s="53"/>
    </row>
    <row r="67" customFormat="false" ht="15.75" hidden="false" customHeight="true" outlineLevel="0" collapsed="false">
      <c r="B67" s="53"/>
    </row>
    <row r="68" customFormat="false" ht="15.75" hidden="false" customHeight="true" outlineLevel="0" collapsed="false">
      <c r="B68" s="53"/>
    </row>
    <row r="69" customFormat="false" ht="15.75" hidden="false" customHeight="true" outlineLevel="0" collapsed="false">
      <c r="B69" s="53"/>
    </row>
    <row r="70" customFormat="false" ht="15.75" hidden="false" customHeight="true" outlineLevel="0" collapsed="false">
      <c r="B70" s="53"/>
    </row>
    <row r="71" customFormat="false" ht="15.75" hidden="false" customHeight="true" outlineLevel="0" collapsed="false">
      <c r="B71" s="53"/>
    </row>
    <row r="72" customFormat="false" ht="15.75" hidden="false" customHeight="true" outlineLevel="0" collapsed="false">
      <c r="B72" s="53"/>
    </row>
    <row r="73" customFormat="false" ht="15.75" hidden="false" customHeight="true" outlineLevel="0" collapsed="false">
      <c r="B73" s="53"/>
    </row>
    <row r="74" customFormat="false" ht="15.75" hidden="false" customHeight="true" outlineLevel="0" collapsed="false">
      <c r="B74" s="53"/>
    </row>
    <row r="75" customFormat="false" ht="15.75" hidden="false" customHeight="true" outlineLevel="0" collapsed="false">
      <c r="B75" s="53"/>
    </row>
    <row r="76" customFormat="false" ht="15.75" hidden="false" customHeight="true" outlineLevel="0" collapsed="false">
      <c r="B76" s="53"/>
    </row>
    <row r="77" customFormat="false" ht="15.75" hidden="false" customHeight="true" outlineLevel="0" collapsed="false">
      <c r="B77" s="53"/>
    </row>
    <row r="78" customFormat="false" ht="15.75" hidden="false" customHeight="true" outlineLevel="0" collapsed="false">
      <c r="B78" s="53"/>
    </row>
    <row r="79" customFormat="false" ht="15.75" hidden="false" customHeight="true" outlineLevel="0" collapsed="false">
      <c r="B79" s="53"/>
    </row>
    <row r="80" customFormat="false" ht="15.75" hidden="false" customHeight="true" outlineLevel="0" collapsed="false">
      <c r="B80" s="53"/>
    </row>
    <row r="81" customFormat="false" ht="15.75" hidden="false" customHeight="true" outlineLevel="0" collapsed="false">
      <c r="B81" s="53"/>
    </row>
    <row r="82" customFormat="false" ht="15.75" hidden="false" customHeight="true" outlineLevel="0" collapsed="false">
      <c r="B82" s="53"/>
    </row>
    <row r="83" customFormat="false" ht="15.75" hidden="false" customHeight="true" outlineLevel="0" collapsed="false">
      <c r="B83" s="53"/>
    </row>
    <row r="84" customFormat="false" ht="15.75" hidden="false" customHeight="true" outlineLevel="0" collapsed="false">
      <c r="B84" s="53"/>
    </row>
    <row r="85" customFormat="false" ht="15.75" hidden="false" customHeight="true" outlineLevel="0" collapsed="false">
      <c r="B85" s="53"/>
    </row>
    <row r="86" customFormat="false" ht="15.75" hidden="false" customHeight="true" outlineLevel="0" collapsed="false">
      <c r="B86" s="53"/>
    </row>
    <row r="87" customFormat="false" ht="15.75" hidden="false" customHeight="true" outlineLevel="0" collapsed="false">
      <c r="B87" s="53"/>
    </row>
    <row r="88" customFormat="false" ht="15.75" hidden="false" customHeight="true" outlineLevel="0" collapsed="false">
      <c r="B88" s="53"/>
    </row>
    <row r="89" customFormat="false" ht="15.75" hidden="false" customHeight="true" outlineLevel="0" collapsed="false">
      <c r="B89" s="53"/>
    </row>
    <row r="90" customFormat="false" ht="15.75" hidden="false" customHeight="true" outlineLevel="0" collapsed="false">
      <c r="B90" s="53"/>
    </row>
    <row r="91" customFormat="false" ht="15.75" hidden="false" customHeight="true" outlineLevel="0" collapsed="false">
      <c r="B91" s="53"/>
    </row>
    <row r="92" customFormat="false" ht="15.75" hidden="false" customHeight="true" outlineLevel="0" collapsed="false">
      <c r="B92" s="53"/>
    </row>
    <row r="93" customFormat="false" ht="15.75" hidden="false" customHeight="true" outlineLevel="0" collapsed="false">
      <c r="B93" s="53"/>
    </row>
    <row r="94" customFormat="false" ht="15.75" hidden="false" customHeight="true" outlineLevel="0" collapsed="false">
      <c r="B94" s="53"/>
    </row>
    <row r="95" customFormat="false" ht="15.75" hidden="false" customHeight="true" outlineLevel="0" collapsed="false">
      <c r="B95" s="53"/>
    </row>
    <row r="96" customFormat="false" ht="15.75" hidden="false" customHeight="true" outlineLevel="0" collapsed="false">
      <c r="B96" s="53"/>
    </row>
    <row r="97" customFormat="false" ht="15.75" hidden="false" customHeight="true" outlineLevel="0" collapsed="false">
      <c r="B97" s="53"/>
    </row>
    <row r="98" customFormat="false" ht="15.75" hidden="false" customHeight="true" outlineLevel="0" collapsed="false">
      <c r="B98" s="53"/>
    </row>
    <row r="99" customFormat="false" ht="15.75" hidden="false" customHeight="true" outlineLevel="0" collapsed="false">
      <c r="B99" s="53"/>
    </row>
    <row r="100" customFormat="false" ht="15.75" hidden="false" customHeight="true" outlineLevel="0" collapsed="false">
      <c r="B100" s="53"/>
    </row>
    <row r="101" customFormat="false" ht="15.75" hidden="false" customHeight="true" outlineLevel="0" collapsed="false">
      <c r="B101" s="53"/>
    </row>
    <row r="102" customFormat="false" ht="15.75" hidden="false" customHeight="true" outlineLevel="0" collapsed="false">
      <c r="B102" s="53"/>
    </row>
    <row r="103" customFormat="false" ht="15.75" hidden="false" customHeight="true" outlineLevel="0" collapsed="false">
      <c r="B103" s="53"/>
    </row>
    <row r="104" customFormat="false" ht="15.75" hidden="false" customHeight="true" outlineLevel="0" collapsed="false">
      <c r="B104" s="53"/>
    </row>
    <row r="105" customFormat="false" ht="15.75" hidden="false" customHeight="true" outlineLevel="0" collapsed="false">
      <c r="B105" s="53"/>
    </row>
    <row r="106" customFormat="false" ht="15.75" hidden="false" customHeight="true" outlineLevel="0" collapsed="false">
      <c r="B106" s="53"/>
    </row>
    <row r="107" customFormat="false" ht="15.75" hidden="false" customHeight="true" outlineLevel="0" collapsed="false">
      <c r="B107" s="53"/>
    </row>
    <row r="108" customFormat="false" ht="15.75" hidden="false" customHeight="true" outlineLevel="0" collapsed="false">
      <c r="B108" s="53"/>
    </row>
    <row r="109" customFormat="false" ht="15.75" hidden="false" customHeight="true" outlineLevel="0" collapsed="false">
      <c r="B109" s="53"/>
    </row>
    <row r="110" customFormat="false" ht="15.75" hidden="false" customHeight="true" outlineLevel="0" collapsed="false">
      <c r="B110" s="53"/>
    </row>
    <row r="111" customFormat="false" ht="15.75" hidden="false" customHeight="true" outlineLevel="0" collapsed="false">
      <c r="B111" s="53"/>
    </row>
    <row r="112" customFormat="false" ht="15.75" hidden="false" customHeight="true" outlineLevel="0" collapsed="false">
      <c r="B112" s="53"/>
    </row>
    <row r="113" customFormat="false" ht="15.75" hidden="false" customHeight="true" outlineLevel="0" collapsed="false">
      <c r="B113" s="53"/>
    </row>
    <row r="114" customFormat="false" ht="15.75" hidden="false" customHeight="true" outlineLevel="0" collapsed="false">
      <c r="B114" s="53"/>
    </row>
    <row r="115" customFormat="false" ht="15.75" hidden="false" customHeight="true" outlineLevel="0" collapsed="false">
      <c r="B115" s="53"/>
    </row>
    <row r="116" customFormat="false" ht="15.75" hidden="false" customHeight="true" outlineLevel="0" collapsed="false">
      <c r="B116" s="53"/>
    </row>
    <row r="117" customFormat="false" ht="15.75" hidden="false" customHeight="true" outlineLevel="0" collapsed="false">
      <c r="B117" s="53"/>
    </row>
    <row r="118" customFormat="false" ht="15.75" hidden="false" customHeight="true" outlineLevel="0" collapsed="false">
      <c r="B118" s="53"/>
    </row>
    <row r="119" customFormat="false" ht="15.75" hidden="false" customHeight="true" outlineLevel="0" collapsed="false">
      <c r="B119" s="53"/>
    </row>
    <row r="120" customFormat="false" ht="15.75" hidden="false" customHeight="true" outlineLevel="0" collapsed="false">
      <c r="B120" s="53"/>
    </row>
    <row r="121" customFormat="false" ht="15.75" hidden="false" customHeight="true" outlineLevel="0" collapsed="false">
      <c r="B121" s="53"/>
    </row>
    <row r="122" customFormat="false" ht="15.75" hidden="false" customHeight="true" outlineLevel="0" collapsed="false">
      <c r="B122" s="53"/>
    </row>
    <row r="123" customFormat="false" ht="15.75" hidden="false" customHeight="true" outlineLevel="0" collapsed="false">
      <c r="B123" s="53"/>
    </row>
    <row r="124" customFormat="false" ht="15.75" hidden="false" customHeight="true" outlineLevel="0" collapsed="false">
      <c r="B124" s="53"/>
    </row>
    <row r="125" customFormat="false" ht="15.75" hidden="false" customHeight="true" outlineLevel="0" collapsed="false">
      <c r="B125" s="53"/>
    </row>
    <row r="126" customFormat="false" ht="15.75" hidden="false" customHeight="true" outlineLevel="0" collapsed="false">
      <c r="B126" s="53"/>
    </row>
    <row r="127" customFormat="false" ht="15.75" hidden="false" customHeight="true" outlineLevel="0" collapsed="false">
      <c r="B127" s="53"/>
    </row>
    <row r="128" customFormat="false" ht="15.75" hidden="false" customHeight="true" outlineLevel="0" collapsed="false">
      <c r="B128" s="53"/>
    </row>
    <row r="129" customFormat="false" ht="15.75" hidden="false" customHeight="true" outlineLevel="0" collapsed="false">
      <c r="B129" s="53"/>
    </row>
    <row r="130" customFormat="false" ht="15.75" hidden="false" customHeight="true" outlineLevel="0" collapsed="false">
      <c r="B130" s="53"/>
    </row>
    <row r="131" customFormat="false" ht="15.75" hidden="false" customHeight="true" outlineLevel="0" collapsed="false">
      <c r="B131" s="53"/>
    </row>
    <row r="132" customFormat="false" ht="15.75" hidden="false" customHeight="true" outlineLevel="0" collapsed="false">
      <c r="B132" s="53"/>
    </row>
    <row r="133" customFormat="false" ht="15.75" hidden="false" customHeight="true" outlineLevel="0" collapsed="false">
      <c r="B133" s="53"/>
    </row>
    <row r="134" customFormat="false" ht="15.75" hidden="false" customHeight="true" outlineLevel="0" collapsed="false">
      <c r="B134" s="53"/>
    </row>
    <row r="135" customFormat="false" ht="15.75" hidden="false" customHeight="true" outlineLevel="0" collapsed="false">
      <c r="B135" s="53"/>
    </row>
    <row r="136" customFormat="false" ht="15.75" hidden="false" customHeight="true" outlineLevel="0" collapsed="false">
      <c r="B136" s="53"/>
    </row>
    <row r="137" customFormat="false" ht="15.75" hidden="false" customHeight="true" outlineLevel="0" collapsed="false">
      <c r="B137" s="53"/>
    </row>
    <row r="138" customFormat="false" ht="15.75" hidden="false" customHeight="true" outlineLevel="0" collapsed="false">
      <c r="B138" s="53"/>
    </row>
    <row r="139" customFormat="false" ht="15.75" hidden="false" customHeight="true" outlineLevel="0" collapsed="false">
      <c r="B139" s="53"/>
    </row>
    <row r="140" customFormat="false" ht="15.75" hidden="false" customHeight="true" outlineLevel="0" collapsed="false">
      <c r="B140" s="53"/>
    </row>
    <row r="141" customFormat="false" ht="15.75" hidden="false" customHeight="true" outlineLevel="0" collapsed="false">
      <c r="B141" s="53"/>
    </row>
    <row r="142" customFormat="false" ht="15.75" hidden="false" customHeight="true" outlineLevel="0" collapsed="false">
      <c r="B142" s="53"/>
    </row>
    <row r="143" customFormat="false" ht="15.75" hidden="false" customHeight="true" outlineLevel="0" collapsed="false">
      <c r="B143" s="53"/>
    </row>
    <row r="144" customFormat="false" ht="15.75" hidden="false" customHeight="true" outlineLevel="0" collapsed="false">
      <c r="B144" s="53"/>
    </row>
    <row r="145" customFormat="false" ht="15.75" hidden="false" customHeight="true" outlineLevel="0" collapsed="false">
      <c r="B145" s="53"/>
    </row>
    <row r="146" customFormat="false" ht="15.75" hidden="false" customHeight="true" outlineLevel="0" collapsed="false">
      <c r="B146" s="53"/>
    </row>
    <row r="147" customFormat="false" ht="15.75" hidden="false" customHeight="true" outlineLevel="0" collapsed="false">
      <c r="B147" s="53"/>
    </row>
    <row r="148" customFormat="false" ht="15.75" hidden="false" customHeight="true" outlineLevel="0" collapsed="false">
      <c r="B148" s="53"/>
    </row>
    <row r="149" customFormat="false" ht="15.75" hidden="false" customHeight="true" outlineLevel="0" collapsed="false">
      <c r="B149" s="53"/>
    </row>
    <row r="150" customFormat="false" ht="15.75" hidden="false" customHeight="true" outlineLevel="0" collapsed="false">
      <c r="B150" s="53"/>
    </row>
    <row r="151" customFormat="false" ht="15.75" hidden="false" customHeight="true" outlineLevel="0" collapsed="false">
      <c r="B151" s="53"/>
    </row>
    <row r="152" customFormat="false" ht="15.75" hidden="false" customHeight="true" outlineLevel="0" collapsed="false">
      <c r="B152" s="53"/>
    </row>
    <row r="153" customFormat="false" ht="15.75" hidden="false" customHeight="true" outlineLevel="0" collapsed="false">
      <c r="B153" s="53"/>
    </row>
    <row r="154" customFormat="false" ht="15.75" hidden="false" customHeight="true" outlineLevel="0" collapsed="false">
      <c r="B154" s="53"/>
    </row>
    <row r="155" customFormat="false" ht="15.75" hidden="false" customHeight="true" outlineLevel="0" collapsed="false">
      <c r="B155" s="53"/>
    </row>
    <row r="156" customFormat="false" ht="15.75" hidden="false" customHeight="true" outlineLevel="0" collapsed="false">
      <c r="B156" s="53"/>
    </row>
    <row r="157" customFormat="false" ht="15.75" hidden="false" customHeight="true" outlineLevel="0" collapsed="false">
      <c r="B157" s="53"/>
    </row>
    <row r="158" customFormat="false" ht="15.75" hidden="false" customHeight="true" outlineLevel="0" collapsed="false">
      <c r="B158" s="53"/>
    </row>
    <row r="159" customFormat="false" ht="15.75" hidden="false" customHeight="true" outlineLevel="0" collapsed="false">
      <c r="B159" s="53"/>
    </row>
    <row r="160" customFormat="false" ht="15.75" hidden="false" customHeight="true" outlineLevel="0" collapsed="false">
      <c r="B160" s="53"/>
    </row>
    <row r="161" customFormat="false" ht="15.75" hidden="false" customHeight="true" outlineLevel="0" collapsed="false">
      <c r="B161" s="53"/>
    </row>
    <row r="162" customFormat="false" ht="15.75" hidden="false" customHeight="true" outlineLevel="0" collapsed="false">
      <c r="B162" s="53"/>
    </row>
    <row r="163" customFormat="false" ht="15.75" hidden="false" customHeight="true" outlineLevel="0" collapsed="false">
      <c r="B163" s="53"/>
    </row>
    <row r="164" customFormat="false" ht="15.75" hidden="false" customHeight="true" outlineLevel="0" collapsed="false">
      <c r="B164" s="53"/>
    </row>
    <row r="165" customFormat="false" ht="15.75" hidden="false" customHeight="true" outlineLevel="0" collapsed="false">
      <c r="B165" s="53"/>
    </row>
    <row r="166" customFormat="false" ht="15.75" hidden="false" customHeight="true" outlineLevel="0" collapsed="false">
      <c r="B166" s="53"/>
    </row>
    <row r="167" customFormat="false" ht="15.75" hidden="false" customHeight="true" outlineLevel="0" collapsed="false">
      <c r="B167" s="53"/>
    </row>
    <row r="168" customFormat="false" ht="15.75" hidden="false" customHeight="true" outlineLevel="0" collapsed="false">
      <c r="B168" s="53"/>
    </row>
    <row r="169" customFormat="false" ht="15.75" hidden="false" customHeight="true" outlineLevel="0" collapsed="false">
      <c r="B169" s="53"/>
    </row>
    <row r="170" customFormat="false" ht="15.75" hidden="false" customHeight="true" outlineLevel="0" collapsed="false">
      <c r="B170" s="53"/>
    </row>
    <row r="171" customFormat="false" ht="15.75" hidden="false" customHeight="true" outlineLevel="0" collapsed="false">
      <c r="B171" s="53"/>
    </row>
    <row r="172" customFormat="false" ht="15.75" hidden="false" customHeight="true" outlineLevel="0" collapsed="false">
      <c r="B172" s="53"/>
    </row>
    <row r="173" customFormat="false" ht="15.75" hidden="false" customHeight="true" outlineLevel="0" collapsed="false">
      <c r="B173" s="53"/>
    </row>
    <row r="174" customFormat="false" ht="15.75" hidden="false" customHeight="true" outlineLevel="0" collapsed="false">
      <c r="B174" s="53"/>
    </row>
    <row r="175" customFormat="false" ht="15.75" hidden="false" customHeight="true" outlineLevel="0" collapsed="false">
      <c r="B175" s="53"/>
    </row>
    <row r="176" customFormat="false" ht="15.75" hidden="false" customHeight="true" outlineLevel="0" collapsed="false">
      <c r="B176" s="53"/>
    </row>
    <row r="177" customFormat="false" ht="15.75" hidden="false" customHeight="true" outlineLevel="0" collapsed="false">
      <c r="B177" s="53"/>
    </row>
    <row r="178" customFormat="false" ht="15.75" hidden="false" customHeight="true" outlineLevel="0" collapsed="false">
      <c r="B178" s="53"/>
    </row>
    <row r="179" customFormat="false" ht="15.75" hidden="false" customHeight="true" outlineLevel="0" collapsed="false">
      <c r="B179" s="53"/>
    </row>
    <row r="180" customFormat="false" ht="15.75" hidden="false" customHeight="true" outlineLevel="0" collapsed="false">
      <c r="B180" s="53"/>
    </row>
    <row r="181" customFormat="false" ht="15.75" hidden="false" customHeight="true" outlineLevel="0" collapsed="false">
      <c r="B181" s="53"/>
    </row>
    <row r="182" customFormat="false" ht="15.75" hidden="false" customHeight="true" outlineLevel="0" collapsed="false">
      <c r="B182" s="53"/>
    </row>
    <row r="183" customFormat="false" ht="15.75" hidden="false" customHeight="true" outlineLevel="0" collapsed="false">
      <c r="B183" s="53"/>
    </row>
    <row r="184" customFormat="false" ht="15.75" hidden="false" customHeight="true" outlineLevel="0" collapsed="false">
      <c r="B184" s="53"/>
    </row>
    <row r="185" customFormat="false" ht="15.75" hidden="false" customHeight="true" outlineLevel="0" collapsed="false">
      <c r="B185" s="53"/>
    </row>
    <row r="186" customFormat="false" ht="15.75" hidden="false" customHeight="true" outlineLevel="0" collapsed="false">
      <c r="B186" s="53"/>
    </row>
    <row r="187" customFormat="false" ht="15.75" hidden="false" customHeight="true" outlineLevel="0" collapsed="false">
      <c r="B187" s="53"/>
    </row>
    <row r="188" customFormat="false" ht="15.75" hidden="false" customHeight="true" outlineLevel="0" collapsed="false">
      <c r="B188" s="53"/>
    </row>
    <row r="189" customFormat="false" ht="15.75" hidden="false" customHeight="true" outlineLevel="0" collapsed="false">
      <c r="B189" s="53"/>
    </row>
    <row r="190" customFormat="false" ht="15.75" hidden="false" customHeight="true" outlineLevel="0" collapsed="false">
      <c r="B190" s="53"/>
    </row>
    <row r="191" customFormat="false" ht="15.75" hidden="false" customHeight="true" outlineLevel="0" collapsed="false">
      <c r="B191" s="53"/>
    </row>
    <row r="192" customFormat="false" ht="15.75" hidden="false" customHeight="true" outlineLevel="0" collapsed="false">
      <c r="B192" s="53"/>
    </row>
    <row r="193" customFormat="false" ht="15.75" hidden="false" customHeight="true" outlineLevel="0" collapsed="false">
      <c r="B193" s="53"/>
    </row>
    <row r="194" customFormat="false" ht="15.75" hidden="false" customHeight="true" outlineLevel="0" collapsed="false">
      <c r="B194" s="53"/>
    </row>
    <row r="195" customFormat="false" ht="15.75" hidden="false" customHeight="true" outlineLevel="0" collapsed="false">
      <c r="B195" s="53"/>
    </row>
    <row r="196" customFormat="false" ht="15.75" hidden="false" customHeight="true" outlineLevel="0" collapsed="false">
      <c r="B196" s="53"/>
    </row>
    <row r="197" customFormat="false" ht="15.75" hidden="false" customHeight="true" outlineLevel="0" collapsed="false">
      <c r="B197" s="53"/>
    </row>
    <row r="198" customFormat="false" ht="15.75" hidden="false" customHeight="true" outlineLevel="0" collapsed="false">
      <c r="B198" s="53"/>
    </row>
    <row r="199" customFormat="false" ht="15.75" hidden="false" customHeight="true" outlineLevel="0" collapsed="false">
      <c r="B199" s="53"/>
    </row>
    <row r="200" customFormat="false" ht="15.75" hidden="false" customHeight="true" outlineLevel="0" collapsed="false">
      <c r="B200" s="53"/>
    </row>
    <row r="201" customFormat="false" ht="15.75" hidden="false" customHeight="true" outlineLevel="0" collapsed="false">
      <c r="B201" s="53"/>
    </row>
    <row r="202" customFormat="false" ht="15.75" hidden="false" customHeight="true" outlineLevel="0" collapsed="false">
      <c r="B202" s="53"/>
    </row>
    <row r="203" customFormat="false" ht="15.75" hidden="false" customHeight="true" outlineLevel="0" collapsed="false">
      <c r="B203" s="53"/>
    </row>
    <row r="204" customFormat="false" ht="15.75" hidden="false" customHeight="true" outlineLevel="0" collapsed="false">
      <c r="B204" s="53"/>
    </row>
    <row r="205" customFormat="false" ht="15.75" hidden="false" customHeight="true" outlineLevel="0" collapsed="false">
      <c r="B205" s="53"/>
    </row>
    <row r="206" customFormat="false" ht="15.75" hidden="false" customHeight="true" outlineLevel="0" collapsed="false">
      <c r="B206" s="53"/>
    </row>
    <row r="207" customFormat="false" ht="15.75" hidden="false" customHeight="true" outlineLevel="0" collapsed="false">
      <c r="B207" s="53"/>
    </row>
    <row r="208" customFormat="false" ht="15.75" hidden="false" customHeight="true" outlineLevel="0" collapsed="false">
      <c r="B208" s="53"/>
    </row>
    <row r="209" customFormat="false" ht="15.75" hidden="false" customHeight="true" outlineLevel="0" collapsed="false">
      <c r="B209" s="53"/>
    </row>
    <row r="210" customFormat="false" ht="15.75" hidden="false" customHeight="true" outlineLevel="0" collapsed="false">
      <c r="B210" s="53"/>
    </row>
    <row r="211" customFormat="false" ht="15.75" hidden="false" customHeight="true" outlineLevel="0" collapsed="false">
      <c r="B211" s="53"/>
    </row>
    <row r="212" customFormat="false" ht="15.75" hidden="false" customHeight="true" outlineLevel="0" collapsed="false">
      <c r="B212" s="53"/>
    </row>
    <row r="213" customFormat="false" ht="15.75" hidden="false" customHeight="true" outlineLevel="0" collapsed="false">
      <c r="B213" s="53"/>
    </row>
    <row r="214" customFormat="false" ht="15.75" hidden="false" customHeight="true" outlineLevel="0" collapsed="false">
      <c r="B214" s="53"/>
    </row>
    <row r="215" customFormat="false" ht="15.75" hidden="false" customHeight="true" outlineLevel="0" collapsed="false">
      <c r="B215" s="53"/>
    </row>
    <row r="216" customFormat="false" ht="15.75" hidden="false" customHeight="true" outlineLevel="0" collapsed="false">
      <c r="B216" s="53"/>
    </row>
    <row r="217" customFormat="false" ht="15.75" hidden="false" customHeight="true" outlineLevel="0" collapsed="false">
      <c r="B217" s="53"/>
    </row>
    <row r="218" customFormat="false" ht="15.75" hidden="false" customHeight="true" outlineLevel="0" collapsed="false">
      <c r="B218" s="53"/>
    </row>
    <row r="219" customFormat="false" ht="15.75" hidden="false" customHeight="true" outlineLevel="0" collapsed="false">
      <c r="B219" s="53"/>
    </row>
    <row r="220" customFormat="false" ht="15.75" hidden="false" customHeight="true" outlineLevel="0" collapsed="false">
      <c r="B220" s="5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4.453125" defaultRowHeight="15" zeroHeight="false" outlineLevelRow="0" outlineLevelCol="0"/>
  <cols>
    <col collapsed="false" customWidth="true" hidden="false" outlineLevel="0" max="1" min="1" style="0" width="34.45"/>
    <col collapsed="false" customWidth="false" hidden="false" outlineLevel="0" max="2" min="2" style="60" width="14.45"/>
    <col collapsed="false" customWidth="true" hidden="false" outlineLevel="0" max="3" min="3" style="1" width="8.73"/>
    <col collapsed="false" customWidth="true" hidden="false" outlineLevel="0" max="4" min="4" style="1" width="51.18"/>
    <col collapsed="false" customWidth="true" hidden="false" outlineLevel="0" max="5" min="5" style="53" width="10.09"/>
    <col collapsed="false" customWidth="true" hidden="false" outlineLevel="0" max="6" min="6" style="0" width="8.73"/>
    <col collapsed="false" customWidth="true" hidden="false" outlineLevel="0" max="25" min="7" style="0" width="14"/>
  </cols>
  <sheetData>
    <row r="1" customFormat="false" ht="17.35" hidden="false" customHeight="false" outlineLevel="0" collapsed="false">
      <c r="A1" s="61" t="s">
        <v>37</v>
      </c>
      <c r="B1" s="62"/>
    </row>
    <row r="2" customFormat="false" ht="8.25" hidden="false" customHeight="true" outlineLevel="0" collapsed="false">
      <c r="A2" s="63"/>
      <c r="B2" s="62"/>
    </row>
    <row r="3" customFormat="false" ht="15" hidden="false" customHeight="false" outlineLevel="0" collapsed="false">
      <c r="A3" s="64" t="s">
        <v>38</v>
      </c>
      <c r="B3" s="65" t="n">
        <f aca="false">'Rental Income'!E12-Expense!B10</f>
        <v>143400</v>
      </c>
      <c r="C3" s="66" t="s">
        <v>39</v>
      </c>
      <c r="D3" s="67" t="s">
        <v>40</v>
      </c>
      <c r="E3" s="64" t="s">
        <v>2</v>
      </c>
    </row>
    <row r="4" customFormat="false" ht="15" hidden="false" customHeight="false" outlineLevel="0" collapsed="false">
      <c r="A4" s="68" t="s">
        <v>41</v>
      </c>
      <c r="B4" s="69" t="n">
        <f aca="false">(B3/4)</f>
        <v>35850</v>
      </c>
      <c r="C4" s="70" t="s">
        <v>39</v>
      </c>
      <c r="D4" s="71"/>
      <c r="E4" s="72" t="n">
        <v>35850</v>
      </c>
    </row>
    <row r="5" customFormat="false" ht="15" hidden="false" customHeight="false" outlineLevel="0" collapsed="false">
      <c r="A5" s="73" t="s">
        <v>42</v>
      </c>
      <c r="B5" s="74" t="n">
        <f aca="false">B3/4</f>
        <v>35850</v>
      </c>
      <c r="C5" s="75" t="s">
        <v>39</v>
      </c>
      <c r="D5" s="15"/>
      <c r="E5" s="76" t="n">
        <v>35850</v>
      </c>
    </row>
    <row r="6" s="82" customFormat="true" ht="31.3" hidden="false" customHeight="false" outlineLevel="0" collapsed="false">
      <c r="A6" s="77" t="s">
        <v>43</v>
      </c>
      <c r="B6" s="78" t="n">
        <f aca="false">B3/4</f>
        <v>35850</v>
      </c>
      <c r="C6" s="79" t="s">
        <v>39</v>
      </c>
      <c r="D6" s="80" t="s">
        <v>44</v>
      </c>
      <c r="E6" s="81" t="n">
        <f aca="false">35850-20850</f>
        <v>15000</v>
      </c>
    </row>
    <row r="7" customFormat="false" ht="15" hidden="false" customHeight="false" outlineLevel="0" collapsed="false">
      <c r="A7" s="83" t="s">
        <v>45</v>
      </c>
      <c r="B7" s="84" t="n">
        <f aca="false">B3/4</f>
        <v>35850</v>
      </c>
      <c r="C7" s="85" t="s">
        <v>39</v>
      </c>
      <c r="D7" s="86"/>
      <c r="E7" s="87" t="n">
        <v>35850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2022-02-21T00:08:34Z</dcterms:created>
  <dc:creator>HP</dc:creator>
  <dc:description/>
  <dc:language>en-US</dc:language>
  <cp:lastModifiedBy/>
  <dcterms:modified xsi:type="dcterms:W3CDTF">2026-06-08T14:41:30Z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7263842bb7504ab9a890b9e4c5fc41a6</vt:lpwstr>
  </property>
</Properties>
</file>