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6640" activeTab="2"/>
  </bookViews>
  <sheets>
    <sheet name="Rental Income" sheetId="1" r:id="rId1"/>
    <sheet name="Expense" sheetId="2" r:id="rId2"/>
    <sheet name="Distribution" sheetId="3" r:id="rId3"/>
  </sheets>
  <calcPr calcId="162913"/>
  <extLst>
    <ext uri="GoogleSheetsCustomDataVersion2">
      <go:sheetsCustomData xmlns:go="http://customooxmlschemas.google.com/" r:id="rId7" roundtripDataChecksum="mYP5NB9XnIy8wblrjmO9SYi+sUpn0AcHxyiiCT24UZY="/>
    </ext>
  </extLst>
</workbook>
</file>

<file path=xl/calcChain.xml><?xml version="1.0" encoding="utf-8"?>
<calcChain xmlns="http://schemas.openxmlformats.org/spreadsheetml/2006/main">
  <c r="B6" i="3" l="1"/>
  <c r="E6" i="3"/>
  <c r="B10" i="2"/>
  <c r="E10" i="1"/>
  <c r="E9" i="1"/>
  <c r="E8" i="1"/>
  <c r="E7" i="1"/>
  <c r="E6" i="1"/>
  <c r="E5" i="1"/>
  <c r="E4" i="1"/>
  <c r="E12" i="1" l="1"/>
  <c r="B3" i="3" s="1"/>
  <c r="B5" i="3" s="1"/>
  <c r="B7" i="3" l="1"/>
  <c r="B4" i="3"/>
</calcChain>
</file>

<file path=xl/sharedStrings.xml><?xml version="1.0" encoding="utf-8"?>
<sst xmlns="http://schemas.openxmlformats.org/spreadsheetml/2006/main" count="55" uniqueCount="46">
  <si>
    <t>Description</t>
  </si>
  <si>
    <t>Amount</t>
  </si>
  <si>
    <t>Subtotal</t>
  </si>
  <si>
    <t>Roof (7th floor Parcial)</t>
  </si>
  <si>
    <t>6th floor front</t>
  </si>
  <si>
    <t>6th floor back</t>
  </si>
  <si>
    <t>5th floor front</t>
  </si>
  <si>
    <t>5 th floor back</t>
  </si>
  <si>
    <t>Garaze</t>
  </si>
  <si>
    <t>Total (Taka)</t>
  </si>
  <si>
    <t>Monthly Expense</t>
  </si>
  <si>
    <t>Taka</t>
  </si>
  <si>
    <t>Additional</t>
  </si>
  <si>
    <t>Comment</t>
  </si>
  <si>
    <t>CareTaker Salary</t>
  </si>
  <si>
    <t>Ajimpur Expense</t>
  </si>
  <si>
    <t>Masjid</t>
  </si>
  <si>
    <t>Mohanagar Project Housing Society</t>
  </si>
  <si>
    <t xml:space="preserve">Additional Cost </t>
  </si>
  <si>
    <t>Electricity Bill (Motor, Stair, Roof, Garaze)</t>
  </si>
  <si>
    <t>City Corporation Tax</t>
  </si>
  <si>
    <t>Maintenance</t>
  </si>
  <si>
    <t>Total Maintenance in Account deposit</t>
  </si>
  <si>
    <t>Joint Account</t>
  </si>
  <si>
    <t>Total Outstanding Rent</t>
  </si>
  <si>
    <t>Need to be recover</t>
  </si>
  <si>
    <t>Total Rent after Expense</t>
  </si>
  <si>
    <t>(Taka)</t>
  </si>
  <si>
    <t>Nahidul Islam</t>
  </si>
  <si>
    <t>Mohammad Moshiur Rahman</t>
  </si>
  <si>
    <t>Md Nishadul Islam</t>
  </si>
  <si>
    <t>Naimul Islam Nobel</t>
  </si>
  <si>
    <t>water pipe cleaning(1000), net bill(1000), mizan 300, cleaning material 1000</t>
  </si>
  <si>
    <t>Expense per person</t>
  </si>
  <si>
    <t>Monthly Rental Income of April, 2026</t>
  </si>
  <si>
    <t>-</t>
  </si>
  <si>
    <t xml:space="preserve">2nd floor back </t>
  </si>
  <si>
    <t>2nd floor front</t>
  </si>
  <si>
    <t>3rd floor front</t>
  </si>
  <si>
    <t>3rd floor back</t>
  </si>
  <si>
    <t>4th floor front</t>
  </si>
  <si>
    <t>4th floor back (partial)</t>
  </si>
  <si>
    <t>1st floor side 1</t>
  </si>
  <si>
    <t>1st floor side 2</t>
  </si>
  <si>
    <t>Monthly Distribution of April, 2026</t>
  </si>
  <si>
    <r>
      <t xml:space="preserve">House rent- 17,000, Eletricity-1,150,Bua-1,000,Dish bill-1,700 = </t>
    </r>
    <r>
      <rPr>
        <b/>
        <sz val="11"/>
        <color rgb="FF000000"/>
        <rFont val="Calibri"/>
        <family val="2"/>
        <scheme val="minor"/>
      </rPr>
      <t>Total 20,850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</si>
</sst>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6" x14ac:knownFonts="1">
    <font>
      <sz val="11"/>
      <color rgb="FF000000"/>
      <name val="Calibri"/>
      <scheme val="minor"/>
    </font>
    <font>
      <b/>
      <sz val="14"/>
      <color rgb="FF000000"/>
      <name val="Calibri"/>
    </font>
    <font>
      <sz val="14"/>
      <color rgb="FF000000"/>
      <name val="Calibri"/>
    </font>
    <font>
      <b/>
      <sz val="12"/>
      <color rgb="FF000000"/>
      <name val="Calibri"/>
    </font>
    <font>
      <sz val="12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</font>
    <font>
      <b/>
      <i/>
      <sz val="11"/>
      <color rgb="FF000000"/>
      <name val="Calibri"/>
    </font>
    <font>
      <sz val="11"/>
      <color rgb="FF000000"/>
      <name val="Calibri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76A5AF"/>
        <bgColor rgb="FF76A5AF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A2C4C9"/>
        <bgColor rgb="FFA2C4C9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90">
    <xf numFmtId="0" fontId="0" fillId="0" borderId="0" xfId="0" applyFont="1" applyAlignment="1">
      <alignment vertical="center"/>
    </xf>
    <xf numFmtId="0" fontId="2" fillId="0" borderId="0" xfId="0" applyFont="1" applyAlignment="1"/>
    <xf numFmtId="0" fontId="1" fillId="0" borderId="0" xfId="0" applyFont="1" applyAlignment="1"/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5" borderId="1" xfId="0" applyFont="1" applyFill="1" applyBorder="1" applyAlignment="1"/>
    <xf numFmtId="0" fontId="6" fillId="7" borderId="1" xfId="0" applyFont="1" applyFill="1" applyBorder="1" applyAlignment="1"/>
    <xf numFmtId="0" fontId="13" fillId="0" borderId="0" xfId="0" applyFont="1" applyAlignment="1"/>
    <xf numFmtId="0" fontId="3" fillId="2" borderId="7" xfId="0" applyFont="1" applyFill="1" applyBorder="1" applyAlignment="1"/>
    <xf numFmtId="0" fontId="3" fillId="2" borderId="8" xfId="0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43" fontId="5" fillId="3" borderId="5" xfId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0" borderId="9" xfId="0" applyFont="1" applyBorder="1" applyAlignment="1"/>
    <xf numFmtId="0" fontId="6" fillId="0" borderId="10" xfId="0" applyFont="1" applyBorder="1" applyAlignment="1">
      <alignment horizontal="center"/>
    </xf>
    <xf numFmtId="0" fontId="6" fillId="4" borderId="12" xfId="0" applyFont="1" applyFill="1" applyBorder="1" applyAlignment="1"/>
    <xf numFmtId="0" fontId="6" fillId="0" borderId="12" xfId="0" applyFont="1" applyBorder="1" applyAlignment="1"/>
    <xf numFmtId="0" fontId="6" fillId="4" borderId="17" xfId="0" applyFont="1" applyFill="1" applyBorder="1" applyAlignment="1"/>
    <xf numFmtId="0" fontId="6" fillId="4" borderId="18" xfId="0" applyFont="1" applyFill="1" applyBorder="1" applyAlignment="1">
      <alignment horizontal="center"/>
    </xf>
    <xf numFmtId="0" fontId="5" fillId="2" borderId="3" xfId="0" applyFont="1" applyFill="1" applyBorder="1" applyAlignment="1"/>
    <xf numFmtId="0" fontId="6" fillId="2" borderId="4" xfId="0" applyFont="1" applyFill="1" applyBorder="1" applyAlignment="1"/>
    <xf numFmtId="43" fontId="5" fillId="2" borderId="4" xfId="1" applyFont="1" applyFill="1" applyBorder="1" applyAlignment="1">
      <alignment horizontal="center"/>
    </xf>
    <xf numFmtId="43" fontId="3" fillId="2" borderId="7" xfId="1" applyFont="1" applyFill="1" applyBorder="1" applyAlignment="1">
      <alignment horizontal="center"/>
    </xf>
    <xf numFmtId="43" fontId="6" fillId="0" borderId="10" xfId="1" applyFont="1" applyBorder="1" applyAlignment="1">
      <alignment horizontal="center"/>
    </xf>
    <xf numFmtId="43" fontId="6" fillId="4" borderId="2" xfId="1" applyFont="1" applyFill="1" applyBorder="1" applyAlignment="1">
      <alignment horizontal="center"/>
    </xf>
    <xf numFmtId="43" fontId="6" fillId="0" borderId="2" xfId="1" applyFont="1" applyBorder="1" applyAlignment="1">
      <alignment horizontal="center"/>
    </xf>
    <xf numFmtId="43" fontId="6" fillId="4" borderId="18" xfId="1" applyFont="1" applyFill="1" applyBorder="1" applyAlignment="1">
      <alignment horizontal="center"/>
    </xf>
    <xf numFmtId="43" fontId="6" fillId="0" borderId="0" xfId="1" applyFont="1" applyAlignment="1">
      <alignment horizontal="center"/>
    </xf>
    <xf numFmtId="43" fontId="5" fillId="6" borderId="1" xfId="1" applyFont="1" applyFill="1" applyBorder="1" applyAlignment="1">
      <alignment horizontal="center"/>
    </xf>
    <xf numFmtId="43" fontId="5" fillId="7" borderId="1" xfId="1" applyFont="1" applyFill="1" applyBorder="1" applyAlignment="1">
      <alignment horizontal="center"/>
    </xf>
    <xf numFmtId="43" fontId="0" fillId="0" borderId="0" xfId="1" applyFont="1" applyAlignment="1">
      <alignment vertical="center"/>
    </xf>
    <xf numFmtId="43" fontId="0" fillId="0" borderId="0" xfId="1" applyFont="1" applyAlignment="1">
      <alignment horizontal="center"/>
    </xf>
    <xf numFmtId="43" fontId="3" fillId="0" borderId="0" xfId="1" applyFont="1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14" fillId="8" borderId="6" xfId="0" applyFont="1" applyFill="1" applyBorder="1" applyAlignment="1"/>
    <xf numFmtId="43" fontId="14" fillId="8" borderId="7" xfId="1" applyFont="1" applyFill="1" applyBorder="1" applyAlignment="1">
      <alignment horizontal="center" vertical="center"/>
    </xf>
    <xf numFmtId="0" fontId="10" fillId="8" borderId="7" xfId="0" applyFont="1" applyFill="1" applyBorder="1" applyAlignment="1">
      <alignment horizontal="center"/>
    </xf>
    <xf numFmtId="0" fontId="10" fillId="0" borderId="9" xfId="0" applyFont="1" applyFill="1" applyBorder="1" applyAlignment="1"/>
    <xf numFmtId="43" fontId="6" fillId="0" borderId="10" xfId="1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/>
    </xf>
    <xf numFmtId="0" fontId="12" fillId="0" borderId="10" xfId="0" applyFont="1" applyFill="1" applyBorder="1" applyAlignment="1">
      <alignment horizontal="center" vertical="center"/>
    </xf>
    <xf numFmtId="0" fontId="5" fillId="0" borderId="12" xfId="0" applyFont="1" applyFill="1" applyBorder="1" applyAlignment="1"/>
    <xf numFmtId="43" fontId="6" fillId="0" borderId="2" xfId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 vertical="center"/>
    </xf>
    <xf numFmtId="0" fontId="5" fillId="0" borderId="14" xfId="0" applyFont="1" applyFill="1" applyBorder="1" applyAlignment="1"/>
    <xf numFmtId="43" fontId="6" fillId="0" borderId="15" xfId="1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center" vertical="center"/>
    </xf>
    <xf numFmtId="43" fontId="10" fillId="0" borderId="11" xfId="1" applyFont="1" applyFill="1" applyBorder="1" applyAlignment="1">
      <alignment horizontal="center"/>
    </xf>
    <xf numFmtId="43" fontId="15" fillId="0" borderId="13" xfId="1" applyFont="1" applyFill="1" applyBorder="1" applyAlignment="1">
      <alignment horizontal="center"/>
    </xf>
    <xf numFmtId="43" fontId="15" fillId="0" borderId="16" xfId="1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left" vertical="center"/>
    </xf>
    <xf numFmtId="43" fontId="6" fillId="0" borderId="2" xfId="1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43" fontId="15" fillId="0" borderId="13" xfId="1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6" fillId="0" borderId="11" xfId="0" applyFont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6" fillId="4" borderId="19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8" fillId="0" borderId="17" xfId="0" applyFont="1" applyFill="1" applyBorder="1" applyAlignment="1">
      <alignment horizontal="center" vertical="center"/>
    </xf>
    <xf numFmtId="0" fontId="8" fillId="0" borderId="18" xfId="0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D8" sqref="D8"/>
    </sheetView>
  </sheetViews>
  <sheetFormatPr defaultColWidth="14.453125" defaultRowHeight="15" customHeight="1" x14ac:dyDescent="0.35"/>
  <cols>
    <col min="1" max="1" width="21.26953125" style="10" customWidth="1"/>
    <col min="2" max="2" width="10.08984375" style="10" customWidth="1"/>
    <col min="3" max="3" width="22.453125" style="10" customWidth="1"/>
    <col min="4" max="4" width="8.7265625" style="10" customWidth="1"/>
    <col min="5" max="5" width="11.7265625" style="10" customWidth="1"/>
    <col min="6" max="25" width="8.7265625" customWidth="1"/>
    <col min="26" max="26" width="14" customWidth="1"/>
  </cols>
  <sheetData>
    <row r="1" spans="1:26" ht="18.5" x14ac:dyDescent="0.45">
      <c r="A1" s="16" t="s">
        <v>34</v>
      </c>
      <c r="B1" s="11"/>
      <c r="C1" s="11"/>
      <c r="D1" s="11"/>
      <c r="E1" s="1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6" ht="9.75" customHeight="1" thickBot="1" x14ac:dyDescent="0.5">
      <c r="A2" s="17"/>
      <c r="B2" s="11"/>
      <c r="C2" s="11"/>
      <c r="D2" s="11"/>
      <c r="E2" s="1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6" ht="16" thickBot="1" x14ac:dyDescent="0.4">
      <c r="A3" s="18" t="s">
        <v>0</v>
      </c>
      <c r="B3" s="12" t="s">
        <v>1</v>
      </c>
      <c r="C3" s="12" t="s">
        <v>0</v>
      </c>
      <c r="D3" s="12" t="s">
        <v>1</v>
      </c>
      <c r="E3" s="13" t="s">
        <v>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5" x14ac:dyDescent="0.35">
      <c r="A4" s="78" t="s">
        <v>3</v>
      </c>
      <c r="B4" s="79" t="s">
        <v>35</v>
      </c>
      <c r="C4" s="79" t="s">
        <v>35</v>
      </c>
      <c r="D4" s="80">
        <v>9000</v>
      </c>
      <c r="E4" s="81">
        <f>D4</f>
        <v>9000</v>
      </c>
    </row>
    <row r="5" spans="1:26" ht="14.5" x14ac:dyDescent="0.35">
      <c r="A5" s="63" t="s">
        <v>4</v>
      </c>
      <c r="B5" s="64">
        <v>17000</v>
      </c>
      <c r="C5" s="82" t="s">
        <v>5</v>
      </c>
      <c r="D5" s="64">
        <v>18000</v>
      </c>
      <c r="E5" s="83">
        <f t="shared" ref="E5:E10" si="0">B5+D5</f>
        <v>35000</v>
      </c>
    </row>
    <row r="6" spans="1:26" ht="14.5" x14ac:dyDescent="0.35">
      <c r="A6" s="63" t="s">
        <v>6</v>
      </c>
      <c r="B6" s="64">
        <v>17300</v>
      </c>
      <c r="C6" s="82" t="s">
        <v>7</v>
      </c>
      <c r="D6" s="64">
        <v>19000</v>
      </c>
      <c r="E6" s="83">
        <f t="shared" si="0"/>
        <v>36300</v>
      </c>
    </row>
    <row r="7" spans="1:26" ht="14.5" x14ac:dyDescent="0.35">
      <c r="A7" s="84" t="s">
        <v>40</v>
      </c>
      <c r="B7" s="64">
        <v>17000</v>
      </c>
      <c r="C7" s="85" t="s">
        <v>41</v>
      </c>
      <c r="D7" s="64">
        <v>8000</v>
      </c>
      <c r="E7" s="83">
        <f t="shared" si="0"/>
        <v>25000</v>
      </c>
      <c r="F7" s="4"/>
    </row>
    <row r="8" spans="1:26" ht="14.5" x14ac:dyDescent="0.35">
      <c r="A8" s="84" t="s">
        <v>38</v>
      </c>
      <c r="B8" s="64">
        <v>7000</v>
      </c>
      <c r="C8" s="85" t="s">
        <v>39</v>
      </c>
      <c r="D8" s="64">
        <v>0</v>
      </c>
      <c r="E8" s="83">
        <f t="shared" si="0"/>
        <v>7000</v>
      </c>
    </row>
    <row r="9" spans="1:26" ht="14.5" x14ac:dyDescent="0.35">
      <c r="A9" s="84" t="s">
        <v>37</v>
      </c>
      <c r="B9" s="64">
        <v>17000</v>
      </c>
      <c r="C9" s="85" t="s">
        <v>36</v>
      </c>
      <c r="D9" s="64">
        <v>19000</v>
      </c>
      <c r="E9" s="83">
        <f t="shared" si="0"/>
        <v>36000</v>
      </c>
    </row>
    <row r="10" spans="1:26" ht="14.5" x14ac:dyDescent="0.35">
      <c r="A10" s="84" t="s">
        <v>42</v>
      </c>
      <c r="B10" s="64">
        <v>13000</v>
      </c>
      <c r="C10" s="85" t="s">
        <v>43</v>
      </c>
      <c r="D10" s="64">
        <v>12000</v>
      </c>
      <c r="E10" s="83">
        <f t="shared" si="0"/>
        <v>25000</v>
      </c>
    </row>
    <row r="11" spans="1:26" thickBot="1" x14ac:dyDescent="0.4">
      <c r="A11" s="86" t="s">
        <v>8</v>
      </c>
      <c r="B11" s="87"/>
      <c r="C11" s="87"/>
      <c r="D11" s="88"/>
      <c r="E11" s="89">
        <v>3200</v>
      </c>
    </row>
    <row r="12" spans="1:26" thickBot="1" x14ac:dyDescent="0.4">
      <c r="A12" s="19" t="s">
        <v>9</v>
      </c>
      <c r="B12" s="14"/>
      <c r="C12" s="14"/>
      <c r="D12" s="14"/>
      <c r="E12" s="15">
        <f>SUM(E4:E11)</f>
        <v>176500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>
      <selection activeCell="D16" sqref="D16"/>
    </sheetView>
  </sheetViews>
  <sheetFormatPr defaultColWidth="14.453125" defaultRowHeight="15" customHeight="1" x14ac:dyDescent="0.35"/>
  <cols>
    <col min="1" max="1" width="42.08984375" customWidth="1"/>
    <col min="2" max="2" width="13" style="39" customWidth="1"/>
    <col min="3" max="3" width="10.54296875" customWidth="1"/>
    <col min="4" max="4" width="63.90625" style="10" customWidth="1"/>
    <col min="5" max="6" width="8.7265625" customWidth="1"/>
    <col min="7" max="26" width="14" customWidth="1"/>
  </cols>
  <sheetData>
    <row r="1" spans="1:4" ht="16" thickBot="1" x14ac:dyDescent="0.4">
      <c r="A1" s="18" t="s">
        <v>10</v>
      </c>
      <c r="B1" s="31" t="s">
        <v>11</v>
      </c>
      <c r="C1" s="8" t="s">
        <v>12</v>
      </c>
      <c r="D1" s="9" t="s">
        <v>13</v>
      </c>
    </row>
    <row r="2" spans="1:4" ht="14.5" x14ac:dyDescent="0.35">
      <c r="A2" s="22" t="s">
        <v>14</v>
      </c>
      <c r="B2" s="32">
        <v>13000</v>
      </c>
      <c r="C2" s="23"/>
      <c r="D2" s="70"/>
    </row>
    <row r="3" spans="1:4" ht="14.5" x14ac:dyDescent="0.35">
      <c r="A3" s="24" t="s">
        <v>15</v>
      </c>
      <c r="B3" s="33">
        <v>2000</v>
      </c>
      <c r="C3" s="21"/>
      <c r="D3" s="71"/>
    </row>
    <row r="4" spans="1:4" ht="14.5" x14ac:dyDescent="0.35">
      <c r="A4" s="25" t="s">
        <v>16</v>
      </c>
      <c r="B4" s="34">
        <v>1000</v>
      </c>
      <c r="C4" s="20"/>
      <c r="D4" s="72"/>
    </row>
    <row r="5" spans="1:4" ht="14.5" x14ac:dyDescent="0.35">
      <c r="A5" s="24" t="s">
        <v>17</v>
      </c>
      <c r="B5" s="33">
        <v>500</v>
      </c>
      <c r="C5" s="21"/>
      <c r="D5" s="71"/>
    </row>
    <row r="6" spans="1:4" ht="14.5" x14ac:dyDescent="0.35">
      <c r="A6" s="25" t="s">
        <v>18</v>
      </c>
      <c r="B6" s="34">
        <v>3300</v>
      </c>
      <c r="C6" s="20"/>
      <c r="D6" s="73" t="s">
        <v>32</v>
      </c>
    </row>
    <row r="7" spans="1:4" ht="14.5" x14ac:dyDescent="0.35">
      <c r="A7" s="24" t="s">
        <v>19</v>
      </c>
      <c r="B7" s="33">
        <v>5000</v>
      </c>
      <c r="C7" s="21"/>
      <c r="D7" s="71"/>
    </row>
    <row r="8" spans="1:4" ht="14.5" x14ac:dyDescent="0.35">
      <c r="A8" s="25" t="s">
        <v>20</v>
      </c>
      <c r="B8" s="34">
        <v>3300</v>
      </c>
      <c r="C8" s="20"/>
      <c r="D8" s="72"/>
    </row>
    <row r="9" spans="1:4" ht="15" customHeight="1" thickBot="1" x14ac:dyDescent="0.4">
      <c r="A9" s="26" t="s">
        <v>21</v>
      </c>
      <c r="B9" s="35">
        <v>5000</v>
      </c>
      <c r="C9" s="27"/>
      <c r="D9" s="74"/>
    </row>
    <row r="10" spans="1:4" thickBot="1" x14ac:dyDescent="0.4">
      <c r="A10" s="28" t="s">
        <v>9</v>
      </c>
      <c r="B10" s="30">
        <f>B2+B3+B4+B5+B6+B7+B8+B9</f>
        <v>33100</v>
      </c>
      <c r="C10" s="29"/>
      <c r="D10" s="75"/>
    </row>
    <row r="11" spans="1:4" ht="14.5" x14ac:dyDescent="0.35">
      <c r="B11" s="36"/>
    </row>
    <row r="12" spans="1:4" ht="14.5" x14ac:dyDescent="0.35">
      <c r="B12" s="36"/>
    </row>
    <row r="13" spans="1:4" ht="14.5" x14ac:dyDescent="0.35">
      <c r="A13" s="5" t="s">
        <v>22</v>
      </c>
      <c r="B13" s="37"/>
      <c r="C13" s="5"/>
      <c r="D13" s="76" t="s">
        <v>23</v>
      </c>
    </row>
    <row r="14" spans="1:4" ht="14.5" x14ac:dyDescent="0.35">
      <c r="A14" s="6" t="s">
        <v>24</v>
      </c>
      <c r="B14" s="38"/>
      <c r="C14" s="6"/>
      <c r="D14" s="77" t="s">
        <v>25</v>
      </c>
    </row>
    <row r="15" spans="1:4" ht="14.5" x14ac:dyDescent="0.35">
      <c r="B15" s="36"/>
    </row>
    <row r="16" spans="1:4" ht="14.5" x14ac:dyDescent="0.35">
      <c r="B16" s="36"/>
    </row>
    <row r="17" spans="2:2" ht="14.5" x14ac:dyDescent="0.35">
      <c r="B17" s="36"/>
    </row>
    <row r="18" spans="2:2" ht="14.5" x14ac:dyDescent="0.35">
      <c r="B18" s="36"/>
    </row>
    <row r="19" spans="2:2" ht="14.5" x14ac:dyDescent="0.35">
      <c r="B19" s="36"/>
    </row>
    <row r="20" spans="2:2" ht="14.5" x14ac:dyDescent="0.35">
      <c r="B20" s="36"/>
    </row>
    <row r="21" spans="2:2" ht="15.75" customHeight="1" x14ac:dyDescent="0.35">
      <c r="B21" s="36"/>
    </row>
    <row r="22" spans="2:2" ht="15.75" customHeight="1" x14ac:dyDescent="0.35">
      <c r="B22" s="36"/>
    </row>
    <row r="23" spans="2:2" ht="15.75" customHeight="1" x14ac:dyDescent="0.35">
      <c r="B23" s="36"/>
    </row>
    <row r="24" spans="2:2" ht="15.75" customHeight="1" x14ac:dyDescent="0.35">
      <c r="B24" s="36"/>
    </row>
    <row r="25" spans="2:2" ht="15.75" customHeight="1" x14ac:dyDescent="0.35">
      <c r="B25" s="36"/>
    </row>
    <row r="26" spans="2:2" ht="15.75" customHeight="1" x14ac:dyDescent="0.35">
      <c r="B26" s="36"/>
    </row>
    <row r="27" spans="2:2" ht="15.75" customHeight="1" x14ac:dyDescent="0.35">
      <c r="B27" s="36"/>
    </row>
    <row r="28" spans="2:2" ht="15.75" customHeight="1" x14ac:dyDescent="0.35">
      <c r="B28" s="36"/>
    </row>
    <row r="29" spans="2:2" ht="15.75" customHeight="1" x14ac:dyDescent="0.35">
      <c r="B29" s="36"/>
    </row>
    <row r="30" spans="2:2" ht="15.75" customHeight="1" x14ac:dyDescent="0.35">
      <c r="B30" s="36"/>
    </row>
    <row r="31" spans="2:2" ht="15.75" customHeight="1" x14ac:dyDescent="0.35">
      <c r="B31" s="36"/>
    </row>
    <row r="32" spans="2:2" ht="15.75" customHeight="1" x14ac:dyDescent="0.35">
      <c r="B32" s="36"/>
    </row>
    <row r="33" spans="2:2" ht="15.75" customHeight="1" x14ac:dyDescent="0.35">
      <c r="B33" s="36"/>
    </row>
    <row r="34" spans="2:2" ht="15.75" customHeight="1" x14ac:dyDescent="0.35">
      <c r="B34" s="36"/>
    </row>
    <row r="35" spans="2:2" ht="15.75" customHeight="1" x14ac:dyDescent="0.35">
      <c r="B35" s="36"/>
    </row>
    <row r="36" spans="2:2" ht="15.75" customHeight="1" x14ac:dyDescent="0.35">
      <c r="B36" s="36"/>
    </row>
    <row r="37" spans="2:2" ht="15.75" customHeight="1" x14ac:dyDescent="0.35">
      <c r="B37" s="36"/>
    </row>
    <row r="38" spans="2:2" ht="15.75" customHeight="1" x14ac:dyDescent="0.35">
      <c r="B38" s="36"/>
    </row>
    <row r="39" spans="2:2" ht="15.75" customHeight="1" x14ac:dyDescent="0.35">
      <c r="B39" s="36"/>
    </row>
    <row r="40" spans="2:2" ht="15.75" customHeight="1" x14ac:dyDescent="0.35">
      <c r="B40" s="36"/>
    </row>
    <row r="41" spans="2:2" ht="15.75" customHeight="1" x14ac:dyDescent="0.35">
      <c r="B41" s="36"/>
    </row>
    <row r="42" spans="2:2" ht="15.75" customHeight="1" x14ac:dyDescent="0.35">
      <c r="B42" s="36"/>
    </row>
    <row r="43" spans="2:2" ht="15.75" customHeight="1" x14ac:dyDescent="0.35">
      <c r="B43" s="36"/>
    </row>
    <row r="44" spans="2:2" ht="15.75" customHeight="1" x14ac:dyDescent="0.35">
      <c r="B44" s="36"/>
    </row>
    <row r="45" spans="2:2" ht="15.75" customHeight="1" x14ac:dyDescent="0.35">
      <c r="B45" s="36"/>
    </row>
    <row r="46" spans="2:2" ht="15.75" customHeight="1" x14ac:dyDescent="0.35">
      <c r="B46" s="36"/>
    </row>
    <row r="47" spans="2:2" ht="15.75" customHeight="1" x14ac:dyDescent="0.35">
      <c r="B47" s="36"/>
    </row>
    <row r="48" spans="2:2" ht="15.75" customHeight="1" x14ac:dyDescent="0.35">
      <c r="B48" s="36"/>
    </row>
    <row r="49" spans="2:2" ht="15.75" customHeight="1" x14ac:dyDescent="0.35">
      <c r="B49" s="36"/>
    </row>
    <row r="50" spans="2:2" ht="15.75" customHeight="1" x14ac:dyDescent="0.35">
      <c r="B50" s="36"/>
    </row>
    <row r="51" spans="2:2" ht="15.75" customHeight="1" x14ac:dyDescent="0.35">
      <c r="B51" s="36"/>
    </row>
    <row r="52" spans="2:2" ht="15.75" customHeight="1" x14ac:dyDescent="0.35">
      <c r="B52" s="36"/>
    </row>
    <row r="53" spans="2:2" ht="15.75" customHeight="1" x14ac:dyDescent="0.35">
      <c r="B53" s="36"/>
    </row>
    <row r="54" spans="2:2" ht="15.75" customHeight="1" x14ac:dyDescent="0.35">
      <c r="B54" s="36"/>
    </row>
    <row r="55" spans="2:2" ht="15.75" customHeight="1" x14ac:dyDescent="0.35">
      <c r="B55" s="36"/>
    </row>
    <row r="56" spans="2:2" ht="15.75" customHeight="1" x14ac:dyDescent="0.35">
      <c r="B56" s="36"/>
    </row>
    <row r="57" spans="2:2" ht="15.75" customHeight="1" x14ac:dyDescent="0.35">
      <c r="B57" s="36"/>
    </row>
    <row r="58" spans="2:2" ht="15.75" customHeight="1" x14ac:dyDescent="0.35">
      <c r="B58" s="36"/>
    </row>
    <row r="59" spans="2:2" ht="15.75" customHeight="1" x14ac:dyDescent="0.35">
      <c r="B59" s="36"/>
    </row>
    <row r="60" spans="2:2" ht="15.75" customHeight="1" x14ac:dyDescent="0.35">
      <c r="B60" s="36"/>
    </row>
    <row r="61" spans="2:2" ht="15.75" customHeight="1" x14ac:dyDescent="0.35">
      <c r="B61" s="36"/>
    </row>
    <row r="62" spans="2:2" ht="15.75" customHeight="1" x14ac:dyDescent="0.35">
      <c r="B62" s="36"/>
    </row>
    <row r="63" spans="2:2" ht="15.75" customHeight="1" x14ac:dyDescent="0.35">
      <c r="B63" s="36"/>
    </row>
    <row r="64" spans="2:2" ht="15.75" customHeight="1" x14ac:dyDescent="0.35">
      <c r="B64" s="36"/>
    </row>
    <row r="65" spans="2:2" ht="15.75" customHeight="1" x14ac:dyDescent="0.35">
      <c r="B65" s="36"/>
    </row>
    <row r="66" spans="2:2" ht="15.75" customHeight="1" x14ac:dyDescent="0.35">
      <c r="B66" s="36"/>
    </row>
    <row r="67" spans="2:2" ht="15.75" customHeight="1" x14ac:dyDescent="0.35">
      <c r="B67" s="36"/>
    </row>
    <row r="68" spans="2:2" ht="15.75" customHeight="1" x14ac:dyDescent="0.35">
      <c r="B68" s="36"/>
    </row>
    <row r="69" spans="2:2" ht="15.75" customHeight="1" x14ac:dyDescent="0.35">
      <c r="B69" s="36"/>
    </row>
    <row r="70" spans="2:2" ht="15.75" customHeight="1" x14ac:dyDescent="0.35">
      <c r="B70" s="36"/>
    </row>
    <row r="71" spans="2:2" ht="15.75" customHeight="1" x14ac:dyDescent="0.35">
      <c r="B71" s="36"/>
    </row>
    <row r="72" spans="2:2" ht="15.75" customHeight="1" x14ac:dyDescent="0.35">
      <c r="B72" s="36"/>
    </row>
    <row r="73" spans="2:2" ht="15.75" customHeight="1" x14ac:dyDescent="0.35">
      <c r="B73" s="36"/>
    </row>
    <row r="74" spans="2:2" ht="15.75" customHeight="1" x14ac:dyDescent="0.35">
      <c r="B74" s="36"/>
    </row>
    <row r="75" spans="2:2" ht="15.75" customHeight="1" x14ac:dyDescent="0.35">
      <c r="B75" s="36"/>
    </row>
    <row r="76" spans="2:2" ht="15.75" customHeight="1" x14ac:dyDescent="0.35">
      <c r="B76" s="36"/>
    </row>
    <row r="77" spans="2:2" ht="15.75" customHeight="1" x14ac:dyDescent="0.35">
      <c r="B77" s="36"/>
    </row>
    <row r="78" spans="2:2" ht="15.75" customHeight="1" x14ac:dyDescent="0.35">
      <c r="B78" s="36"/>
    </row>
    <row r="79" spans="2:2" ht="15.75" customHeight="1" x14ac:dyDescent="0.35">
      <c r="B79" s="36"/>
    </row>
    <row r="80" spans="2:2" ht="15.75" customHeight="1" x14ac:dyDescent="0.35">
      <c r="B80" s="36"/>
    </row>
    <row r="81" spans="2:2" ht="15.75" customHeight="1" x14ac:dyDescent="0.35">
      <c r="B81" s="36"/>
    </row>
    <row r="82" spans="2:2" ht="15.75" customHeight="1" x14ac:dyDescent="0.35">
      <c r="B82" s="36"/>
    </row>
    <row r="83" spans="2:2" ht="15.75" customHeight="1" x14ac:dyDescent="0.35">
      <c r="B83" s="36"/>
    </row>
    <row r="84" spans="2:2" ht="15.75" customHeight="1" x14ac:dyDescent="0.35">
      <c r="B84" s="36"/>
    </row>
    <row r="85" spans="2:2" ht="15.75" customHeight="1" x14ac:dyDescent="0.35">
      <c r="B85" s="36"/>
    </row>
    <row r="86" spans="2:2" ht="15.75" customHeight="1" x14ac:dyDescent="0.35">
      <c r="B86" s="36"/>
    </row>
    <row r="87" spans="2:2" ht="15.75" customHeight="1" x14ac:dyDescent="0.35">
      <c r="B87" s="36"/>
    </row>
    <row r="88" spans="2:2" ht="15.75" customHeight="1" x14ac:dyDescent="0.35">
      <c r="B88" s="36"/>
    </row>
    <row r="89" spans="2:2" ht="15.75" customHeight="1" x14ac:dyDescent="0.35">
      <c r="B89" s="36"/>
    </row>
    <row r="90" spans="2:2" ht="15.75" customHeight="1" x14ac:dyDescent="0.35">
      <c r="B90" s="36"/>
    </row>
    <row r="91" spans="2:2" ht="15.75" customHeight="1" x14ac:dyDescent="0.35">
      <c r="B91" s="36"/>
    </row>
    <row r="92" spans="2:2" ht="15.75" customHeight="1" x14ac:dyDescent="0.35">
      <c r="B92" s="36"/>
    </row>
    <row r="93" spans="2:2" ht="15.75" customHeight="1" x14ac:dyDescent="0.35">
      <c r="B93" s="36"/>
    </row>
    <row r="94" spans="2:2" ht="15.75" customHeight="1" x14ac:dyDescent="0.35">
      <c r="B94" s="36"/>
    </row>
    <row r="95" spans="2:2" ht="15.75" customHeight="1" x14ac:dyDescent="0.35">
      <c r="B95" s="36"/>
    </row>
    <row r="96" spans="2:2" ht="15.75" customHeight="1" x14ac:dyDescent="0.35">
      <c r="B96" s="36"/>
    </row>
    <row r="97" spans="2:2" ht="15.75" customHeight="1" x14ac:dyDescent="0.35">
      <c r="B97" s="36"/>
    </row>
    <row r="98" spans="2:2" ht="15.75" customHeight="1" x14ac:dyDescent="0.35">
      <c r="B98" s="36"/>
    </row>
    <row r="99" spans="2:2" ht="15.75" customHeight="1" x14ac:dyDescent="0.35">
      <c r="B99" s="36"/>
    </row>
    <row r="100" spans="2:2" ht="15.75" customHeight="1" x14ac:dyDescent="0.35">
      <c r="B100" s="36"/>
    </row>
    <row r="101" spans="2:2" ht="15.75" customHeight="1" x14ac:dyDescent="0.35">
      <c r="B101" s="36"/>
    </row>
    <row r="102" spans="2:2" ht="15.75" customHeight="1" x14ac:dyDescent="0.35">
      <c r="B102" s="36"/>
    </row>
    <row r="103" spans="2:2" ht="15.75" customHeight="1" x14ac:dyDescent="0.35">
      <c r="B103" s="36"/>
    </row>
    <row r="104" spans="2:2" ht="15.75" customHeight="1" x14ac:dyDescent="0.35">
      <c r="B104" s="36"/>
    </row>
    <row r="105" spans="2:2" ht="15.75" customHeight="1" x14ac:dyDescent="0.35">
      <c r="B105" s="36"/>
    </row>
    <row r="106" spans="2:2" ht="15.75" customHeight="1" x14ac:dyDescent="0.35">
      <c r="B106" s="36"/>
    </row>
    <row r="107" spans="2:2" ht="15.75" customHeight="1" x14ac:dyDescent="0.35">
      <c r="B107" s="36"/>
    </row>
    <row r="108" spans="2:2" ht="15.75" customHeight="1" x14ac:dyDescent="0.35">
      <c r="B108" s="36"/>
    </row>
    <row r="109" spans="2:2" ht="15.75" customHeight="1" x14ac:dyDescent="0.35">
      <c r="B109" s="36"/>
    </row>
    <row r="110" spans="2:2" ht="15.75" customHeight="1" x14ac:dyDescent="0.35">
      <c r="B110" s="36"/>
    </row>
    <row r="111" spans="2:2" ht="15.75" customHeight="1" x14ac:dyDescent="0.35">
      <c r="B111" s="36"/>
    </row>
    <row r="112" spans="2:2" ht="15.75" customHeight="1" x14ac:dyDescent="0.35">
      <c r="B112" s="36"/>
    </row>
    <row r="113" spans="2:2" ht="15.75" customHeight="1" x14ac:dyDescent="0.35">
      <c r="B113" s="36"/>
    </row>
    <row r="114" spans="2:2" ht="15.75" customHeight="1" x14ac:dyDescent="0.35">
      <c r="B114" s="36"/>
    </row>
    <row r="115" spans="2:2" ht="15.75" customHeight="1" x14ac:dyDescent="0.35">
      <c r="B115" s="36"/>
    </row>
    <row r="116" spans="2:2" ht="15.75" customHeight="1" x14ac:dyDescent="0.35">
      <c r="B116" s="36"/>
    </row>
    <row r="117" spans="2:2" ht="15.75" customHeight="1" x14ac:dyDescent="0.35">
      <c r="B117" s="36"/>
    </row>
    <row r="118" spans="2:2" ht="15.75" customHeight="1" x14ac:dyDescent="0.35">
      <c r="B118" s="36"/>
    </row>
    <row r="119" spans="2:2" ht="15.75" customHeight="1" x14ac:dyDescent="0.35">
      <c r="B119" s="36"/>
    </row>
    <row r="120" spans="2:2" ht="15.75" customHeight="1" x14ac:dyDescent="0.35">
      <c r="B120" s="36"/>
    </row>
    <row r="121" spans="2:2" ht="15.75" customHeight="1" x14ac:dyDescent="0.35">
      <c r="B121" s="36"/>
    </row>
    <row r="122" spans="2:2" ht="15.75" customHeight="1" x14ac:dyDescent="0.35">
      <c r="B122" s="36"/>
    </row>
    <row r="123" spans="2:2" ht="15.75" customHeight="1" x14ac:dyDescent="0.35">
      <c r="B123" s="36"/>
    </row>
    <row r="124" spans="2:2" ht="15.75" customHeight="1" x14ac:dyDescent="0.35">
      <c r="B124" s="36"/>
    </row>
    <row r="125" spans="2:2" ht="15.75" customHeight="1" x14ac:dyDescent="0.35">
      <c r="B125" s="36"/>
    </row>
    <row r="126" spans="2:2" ht="15.75" customHeight="1" x14ac:dyDescent="0.35">
      <c r="B126" s="36"/>
    </row>
    <row r="127" spans="2:2" ht="15.75" customHeight="1" x14ac:dyDescent="0.35">
      <c r="B127" s="36"/>
    </row>
    <row r="128" spans="2:2" ht="15.75" customHeight="1" x14ac:dyDescent="0.35">
      <c r="B128" s="36"/>
    </row>
    <row r="129" spans="2:2" ht="15.75" customHeight="1" x14ac:dyDescent="0.35">
      <c r="B129" s="36"/>
    </row>
    <row r="130" spans="2:2" ht="15.75" customHeight="1" x14ac:dyDescent="0.35">
      <c r="B130" s="36"/>
    </row>
    <row r="131" spans="2:2" ht="15.75" customHeight="1" x14ac:dyDescent="0.35">
      <c r="B131" s="36"/>
    </row>
    <row r="132" spans="2:2" ht="15.75" customHeight="1" x14ac:dyDescent="0.35">
      <c r="B132" s="36"/>
    </row>
    <row r="133" spans="2:2" ht="15.75" customHeight="1" x14ac:dyDescent="0.35">
      <c r="B133" s="36"/>
    </row>
    <row r="134" spans="2:2" ht="15.75" customHeight="1" x14ac:dyDescent="0.35">
      <c r="B134" s="36"/>
    </row>
    <row r="135" spans="2:2" ht="15.75" customHeight="1" x14ac:dyDescent="0.35">
      <c r="B135" s="36"/>
    </row>
    <row r="136" spans="2:2" ht="15.75" customHeight="1" x14ac:dyDescent="0.35">
      <c r="B136" s="36"/>
    </row>
    <row r="137" spans="2:2" ht="15.75" customHeight="1" x14ac:dyDescent="0.35">
      <c r="B137" s="36"/>
    </row>
    <row r="138" spans="2:2" ht="15.75" customHeight="1" x14ac:dyDescent="0.35">
      <c r="B138" s="36"/>
    </row>
    <row r="139" spans="2:2" ht="15.75" customHeight="1" x14ac:dyDescent="0.35">
      <c r="B139" s="36"/>
    </row>
    <row r="140" spans="2:2" ht="15.75" customHeight="1" x14ac:dyDescent="0.35">
      <c r="B140" s="36"/>
    </row>
    <row r="141" spans="2:2" ht="15.75" customHeight="1" x14ac:dyDescent="0.35">
      <c r="B141" s="36"/>
    </row>
    <row r="142" spans="2:2" ht="15.75" customHeight="1" x14ac:dyDescent="0.35">
      <c r="B142" s="36"/>
    </row>
    <row r="143" spans="2:2" ht="15.75" customHeight="1" x14ac:dyDescent="0.35">
      <c r="B143" s="36"/>
    </row>
    <row r="144" spans="2:2" ht="15.75" customHeight="1" x14ac:dyDescent="0.35">
      <c r="B144" s="36"/>
    </row>
    <row r="145" spans="2:2" ht="15.75" customHeight="1" x14ac:dyDescent="0.35">
      <c r="B145" s="36"/>
    </row>
    <row r="146" spans="2:2" ht="15.75" customHeight="1" x14ac:dyDescent="0.35">
      <c r="B146" s="36"/>
    </row>
    <row r="147" spans="2:2" ht="15.75" customHeight="1" x14ac:dyDescent="0.35">
      <c r="B147" s="36"/>
    </row>
    <row r="148" spans="2:2" ht="15.75" customHeight="1" x14ac:dyDescent="0.35">
      <c r="B148" s="36"/>
    </row>
    <row r="149" spans="2:2" ht="15.75" customHeight="1" x14ac:dyDescent="0.35">
      <c r="B149" s="36"/>
    </row>
    <row r="150" spans="2:2" ht="15.75" customHeight="1" x14ac:dyDescent="0.35">
      <c r="B150" s="36"/>
    </row>
    <row r="151" spans="2:2" ht="15.75" customHeight="1" x14ac:dyDescent="0.35">
      <c r="B151" s="36"/>
    </row>
    <row r="152" spans="2:2" ht="15.75" customHeight="1" x14ac:dyDescent="0.35">
      <c r="B152" s="36"/>
    </row>
    <row r="153" spans="2:2" ht="15.75" customHeight="1" x14ac:dyDescent="0.35">
      <c r="B153" s="36"/>
    </row>
    <row r="154" spans="2:2" ht="15.75" customHeight="1" x14ac:dyDescent="0.35">
      <c r="B154" s="36"/>
    </row>
    <row r="155" spans="2:2" ht="15.75" customHeight="1" x14ac:dyDescent="0.35">
      <c r="B155" s="36"/>
    </row>
    <row r="156" spans="2:2" ht="15.75" customHeight="1" x14ac:dyDescent="0.35">
      <c r="B156" s="36"/>
    </row>
    <row r="157" spans="2:2" ht="15.75" customHeight="1" x14ac:dyDescent="0.35">
      <c r="B157" s="36"/>
    </row>
    <row r="158" spans="2:2" ht="15.75" customHeight="1" x14ac:dyDescent="0.35">
      <c r="B158" s="36"/>
    </row>
    <row r="159" spans="2:2" ht="15.75" customHeight="1" x14ac:dyDescent="0.35">
      <c r="B159" s="36"/>
    </row>
    <row r="160" spans="2:2" ht="15.75" customHeight="1" x14ac:dyDescent="0.35">
      <c r="B160" s="36"/>
    </row>
    <row r="161" spans="2:2" ht="15.75" customHeight="1" x14ac:dyDescent="0.35">
      <c r="B161" s="36"/>
    </row>
    <row r="162" spans="2:2" ht="15.75" customHeight="1" x14ac:dyDescent="0.35">
      <c r="B162" s="36"/>
    </row>
    <row r="163" spans="2:2" ht="15.75" customHeight="1" x14ac:dyDescent="0.35">
      <c r="B163" s="36"/>
    </row>
    <row r="164" spans="2:2" ht="15.75" customHeight="1" x14ac:dyDescent="0.35">
      <c r="B164" s="36"/>
    </row>
    <row r="165" spans="2:2" ht="15.75" customHeight="1" x14ac:dyDescent="0.35">
      <c r="B165" s="36"/>
    </row>
    <row r="166" spans="2:2" ht="15.75" customHeight="1" x14ac:dyDescent="0.35">
      <c r="B166" s="36"/>
    </row>
    <row r="167" spans="2:2" ht="15.75" customHeight="1" x14ac:dyDescent="0.35">
      <c r="B167" s="36"/>
    </row>
    <row r="168" spans="2:2" ht="15.75" customHeight="1" x14ac:dyDescent="0.35">
      <c r="B168" s="36"/>
    </row>
    <row r="169" spans="2:2" ht="15.75" customHeight="1" x14ac:dyDescent="0.35">
      <c r="B169" s="36"/>
    </row>
    <row r="170" spans="2:2" ht="15.75" customHeight="1" x14ac:dyDescent="0.35">
      <c r="B170" s="36"/>
    </row>
    <row r="171" spans="2:2" ht="15.75" customHeight="1" x14ac:dyDescent="0.35">
      <c r="B171" s="36"/>
    </row>
    <row r="172" spans="2:2" ht="15.75" customHeight="1" x14ac:dyDescent="0.35">
      <c r="B172" s="36"/>
    </row>
    <row r="173" spans="2:2" ht="15.75" customHeight="1" x14ac:dyDescent="0.35">
      <c r="B173" s="36"/>
    </row>
    <row r="174" spans="2:2" ht="15.75" customHeight="1" x14ac:dyDescent="0.35">
      <c r="B174" s="36"/>
    </row>
    <row r="175" spans="2:2" ht="15.75" customHeight="1" x14ac:dyDescent="0.35">
      <c r="B175" s="36"/>
    </row>
    <row r="176" spans="2:2" ht="15.75" customHeight="1" x14ac:dyDescent="0.35">
      <c r="B176" s="36"/>
    </row>
    <row r="177" spans="2:2" ht="15.75" customHeight="1" x14ac:dyDescent="0.35">
      <c r="B177" s="36"/>
    </row>
    <row r="178" spans="2:2" ht="15.75" customHeight="1" x14ac:dyDescent="0.35">
      <c r="B178" s="36"/>
    </row>
    <row r="179" spans="2:2" ht="15.75" customHeight="1" x14ac:dyDescent="0.35">
      <c r="B179" s="36"/>
    </row>
    <row r="180" spans="2:2" ht="15.75" customHeight="1" x14ac:dyDescent="0.35">
      <c r="B180" s="36"/>
    </row>
    <row r="181" spans="2:2" ht="15.75" customHeight="1" x14ac:dyDescent="0.35">
      <c r="B181" s="36"/>
    </row>
    <row r="182" spans="2:2" ht="15.75" customHeight="1" x14ac:dyDescent="0.35">
      <c r="B182" s="36"/>
    </row>
    <row r="183" spans="2:2" ht="15.75" customHeight="1" x14ac:dyDescent="0.35">
      <c r="B183" s="36"/>
    </row>
    <row r="184" spans="2:2" ht="15.75" customHeight="1" x14ac:dyDescent="0.35">
      <c r="B184" s="36"/>
    </row>
    <row r="185" spans="2:2" ht="15.75" customHeight="1" x14ac:dyDescent="0.35">
      <c r="B185" s="36"/>
    </row>
    <row r="186" spans="2:2" ht="15.75" customHeight="1" x14ac:dyDescent="0.35">
      <c r="B186" s="36"/>
    </row>
    <row r="187" spans="2:2" ht="15.75" customHeight="1" x14ac:dyDescent="0.35">
      <c r="B187" s="36"/>
    </row>
    <row r="188" spans="2:2" ht="15.75" customHeight="1" x14ac:dyDescent="0.35">
      <c r="B188" s="36"/>
    </row>
    <row r="189" spans="2:2" ht="15.75" customHeight="1" x14ac:dyDescent="0.35">
      <c r="B189" s="36"/>
    </row>
    <row r="190" spans="2:2" ht="15.75" customHeight="1" x14ac:dyDescent="0.35">
      <c r="B190" s="36"/>
    </row>
    <row r="191" spans="2:2" ht="15.75" customHeight="1" x14ac:dyDescent="0.35">
      <c r="B191" s="36"/>
    </row>
    <row r="192" spans="2:2" ht="15.75" customHeight="1" x14ac:dyDescent="0.35">
      <c r="B192" s="36"/>
    </row>
    <row r="193" spans="2:2" ht="15.75" customHeight="1" x14ac:dyDescent="0.35">
      <c r="B193" s="36"/>
    </row>
    <row r="194" spans="2:2" ht="15.75" customHeight="1" x14ac:dyDescent="0.35">
      <c r="B194" s="36"/>
    </row>
    <row r="195" spans="2:2" ht="15.75" customHeight="1" x14ac:dyDescent="0.35">
      <c r="B195" s="36"/>
    </row>
    <row r="196" spans="2:2" ht="15.75" customHeight="1" x14ac:dyDescent="0.35">
      <c r="B196" s="36"/>
    </row>
    <row r="197" spans="2:2" ht="15.75" customHeight="1" x14ac:dyDescent="0.35">
      <c r="B197" s="36"/>
    </row>
    <row r="198" spans="2:2" ht="15.75" customHeight="1" x14ac:dyDescent="0.35">
      <c r="B198" s="36"/>
    </row>
    <row r="199" spans="2:2" ht="15.75" customHeight="1" x14ac:dyDescent="0.35">
      <c r="B199" s="36"/>
    </row>
    <row r="200" spans="2:2" ht="15.75" customHeight="1" x14ac:dyDescent="0.35">
      <c r="B200" s="36"/>
    </row>
    <row r="201" spans="2:2" ht="15.75" customHeight="1" x14ac:dyDescent="0.35">
      <c r="B201" s="36"/>
    </row>
    <row r="202" spans="2:2" ht="15.75" customHeight="1" x14ac:dyDescent="0.35">
      <c r="B202" s="36"/>
    </row>
    <row r="203" spans="2:2" ht="15.75" customHeight="1" x14ac:dyDescent="0.35">
      <c r="B203" s="36"/>
    </row>
    <row r="204" spans="2:2" ht="15.75" customHeight="1" x14ac:dyDescent="0.35">
      <c r="B204" s="36"/>
    </row>
    <row r="205" spans="2:2" ht="15.75" customHeight="1" x14ac:dyDescent="0.35">
      <c r="B205" s="36"/>
    </row>
    <row r="206" spans="2:2" ht="15.75" customHeight="1" x14ac:dyDescent="0.35">
      <c r="B206" s="36"/>
    </row>
    <row r="207" spans="2:2" ht="15.75" customHeight="1" x14ac:dyDescent="0.35">
      <c r="B207" s="36"/>
    </row>
    <row r="208" spans="2:2" ht="15.75" customHeight="1" x14ac:dyDescent="0.35">
      <c r="B208" s="36"/>
    </row>
    <row r="209" spans="2:2" ht="15.75" customHeight="1" x14ac:dyDescent="0.35">
      <c r="B209" s="36"/>
    </row>
    <row r="210" spans="2:2" ht="15.75" customHeight="1" x14ac:dyDescent="0.35">
      <c r="B210" s="36"/>
    </row>
    <row r="211" spans="2:2" ht="15.75" customHeight="1" x14ac:dyDescent="0.35">
      <c r="B211" s="36"/>
    </row>
    <row r="212" spans="2:2" ht="15.75" customHeight="1" x14ac:dyDescent="0.35">
      <c r="B212" s="36"/>
    </row>
    <row r="213" spans="2:2" ht="15.75" customHeight="1" x14ac:dyDescent="0.35">
      <c r="B213" s="36"/>
    </row>
    <row r="214" spans="2:2" ht="15.75" customHeight="1" x14ac:dyDescent="0.35">
      <c r="B214" s="36"/>
    </row>
    <row r="215" spans="2:2" ht="15.75" customHeight="1" x14ac:dyDescent="0.35">
      <c r="B215" s="36"/>
    </row>
    <row r="216" spans="2:2" ht="15.75" customHeight="1" x14ac:dyDescent="0.35">
      <c r="B216" s="36"/>
    </row>
    <row r="217" spans="2:2" ht="15.75" customHeight="1" x14ac:dyDescent="0.35">
      <c r="B217" s="36"/>
    </row>
    <row r="218" spans="2:2" ht="15.75" customHeight="1" x14ac:dyDescent="0.35">
      <c r="B218" s="36"/>
    </row>
    <row r="219" spans="2:2" ht="15.75" customHeight="1" x14ac:dyDescent="0.35">
      <c r="B219" s="36"/>
    </row>
    <row r="220" spans="2:2" ht="15.75" customHeight="1" x14ac:dyDescent="0.35">
      <c r="B220" s="36"/>
    </row>
    <row r="221" spans="2:2" ht="15.75" customHeight="1" x14ac:dyDescent="0.35"/>
    <row r="222" spans="2:2" ht="15.75" customHeight="1" x14ac:dyDescent="0.35"/>
    <row r="223" spans="2:2" ht="15.75" customHeight="1" x14ac:dyDescent="0.35"/>
    <row r="224" spans="2:2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14" sqref="C14"/>
    </sheetView>
  </sheetViews>
  <sheetFormatPr defaultColWidth="14.453125" defaultRowHeight="15" customHeight="1" x14ac:dyDescent="0.35"/>
  <cols>
    <col min="1" max="1" width="34.453125" customWidth="1"/>
    <col min="2" max="2" width="14.453125" style="42"/>
    <col min="3" max="3" width="8.7265625" style="10" customWidth="1"/>
    <col min="4" max="4" width="51.1796875" style="10" bestFit="1" customWidth="1"/>
    <col min="5" max="5" width="10.08984375" style="40" bestFit="1" customWidth="1"/>
    <col min="6" max="6" width="8.7265625" customWidth="1"/>
    <col min="7" max="25" width="14" customWidth="1"/>
  </cols>
  <sheetData>
    <row r="1" spans="1:5" ht="18.5" x14ac:dyDescent="0.45">
      <c r="A1" s="7" t="s">
        <v>44</v>
      </c>
      <c r="B1" s="41"/>
    </row>
    <row r="2" spans="1:5" ht="8.25" customHeight="1" thickBot="1" x14ac:dyDescent="0.5">
      <c r="A2" s="2"/>
      <c r="B2" s="41"/>
    </row>
    <row r="3" spans="1:5" ht="16" thickBot="1" x14ac:dyDescent="0.4">
      <c r="A3" s="43" t="s">
        <v>26</v>
      </c>
      <c r="B3" s="44">
        <f>'Rental Income'!E12-Expense!B10</f>
        <v>143400</v>
      </c>
      <c r="C3" s="45" t="s">
        <v>27</v>
      </c>
      <c r="D3" s="58" t="s">
        <v>33</v>
      </c>
      <c r="E3" s="43" t="s">
        <v>1</v>
      </c>
    </row>
    <row r="4" spans="1:5" ht="14.5" x14ac:dyDescent="0.35">
      <c r="A4" s="46" t="s">
        <v>28</v>
      </c>
      <c r="B4" s="47">
        <f>(B3/4)</f>
        <v>35850</v>
      </c>
      <c r="C4" s="48" t="s">
        <v>27</v>
      </c>
      <c r="D4" s="49"/>
      <c r="E4" s="59">
        <v>35850</v>
      </c>
    </row>
    <row r="5" spans="1:5" ht="14.5" x14ac:dyDescent="0.35">
      <c r="A5" s="50" t="s">
        <v>29</v>
      </c>
      <c r="B5" s="51">
        <f>B3/4</f>
        <v>35850</v>
      </c>
      <c r="C5" s="52" t="s">
        <v>27</v>
      </c>
      <c r="D5" s="53"/>
      <c r="E5" s="60">
        <v>35300</v>
      </c>
    </row>
    <row r="6" spans="1:5" s="69" customFormat="1" ht="29" x14ac:dyDescent="0.35">
      <c r="A6" s="65" t="s">
        <v>30</v>
      </c>
      <c r="B6" s="66">
        <f>B3/4</f>
        <v>35850</v>
      </c>
      <c r="C6" s="67" t="s">
        <v>27</v>
      </c>
      <c r="D6" s="62" t="s">
        <v>45</v>
      </c>
      <c r="E6" s="68">
        <f>35850-20850</f>
        <v>15000</v>
      </c>
    </row>
    <row r="7" spans="1:5" thickBot="1" x14ac:dyDescent="0.4">
      <c r="A7" s="54" t="s">
        <v>31</v>
      </c>
      <c r="B7" s="55">
        <f>B3/4</f>
        <v>35850</v>
      </c>
      <c r="C7" s="56" t="s">
        <v>27</v>
      </c>
      <c r="D7" s="57"/>
      <c r="E7" s="61">
        <v>35850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Rental Income</vt:lpstr>
      <vt:lpstr>Expense</vt:lpstr>
      <vt:lpstr>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2022-02-21T00:08:34Z</dcterms:created>
  <dcterms:modified xsi:type="dcterms:W3CDTF">2026-04-18T18:33:02Z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7263842bb7504ab9a890b9e4c5fc41a6</vt:lpwstr>
  </property>
</Properties>
</file>